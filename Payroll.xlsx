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004e0a1f984d549/Documents/Personal/Project/"/>
    </mc:Choice>
  </mc:AlternateContent>
  <xr:revisionPtr revIDLastSave="0" documentId="8_{97AEEEDB-449E-420A-9480-C99A3ED5EF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yro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5" i="1" l="1"/>
  <c r="F412" i="1"/>
  <c r="F256" i="1"/>
  <c r="F316" i="1"/>
  <c r="F31" i="1"/>
  <c r="F212" i="1"/>
  <c r="F469" i="1"/>
  <c r="F182" i="1"/>
  <c r="F308" i="1"/>
  <c r="F104" i="1"/>
  <c r="F446" i="1"/>
  <c r="F324" i="1"/>
  <c r="F84" i="1"/>
  <c r="F388" i="1"/>
  <c r="F299" i="1"/>
  <c r="F248" i="1"/>
  <c r="F16" i="1"/>
  <c r="F120" i="1"/>
  <c r="F280" i="1"/>
  <c r="F480" i="1"/>
  <c r="F184" i="1"/>
  <c r="F478" i="1"/>
  <c r="F327" i="1"/>
  <c r="F466" i="1"/>
  <c r="F442" i="1"/>
  <c r="F430" i="1"/>
  <c r="F427" i="1"/>
  <c r="F444" i="1"/>
  <c r="F321" i="1"/>
  <c r="F315" i="1"/>
  <c r="F443" i="1"/>
  <c r="F2" i="1"/>
  <c r="F172" i="1"/>
  <c r="F452" i="1"/>
  <c r="F148" i="1"/>
  <c r="F282" i="1"/>
  <c r="F141" i="1"/>
  <c r="F27" i="1"/>
  <c r="F349" i="1"/>
  <c r="F88" i="1"/>
  <c r="F149" i="1"/>
  <c r="F487" i="1"/>
  <c r="F29" i="1"/>
  <c r="F51" i="1"/>
  <c r="F497" i="1"/>
  <c r="F99" i="1"/>
  <c r="F252" i="1"/>
  <c r="F235" i="1"/>
  <c r="F205" i="1"/>
  <c r="F140" i="1"/>
  <c r="F61" i="1"/>
  <c r="F258" i="1"/>
  <c r="F414" i="1"/>
  <c r="F170" i="1"/>
  <c r="F60" i="1"/>
  <c r="F477" i="1"/>
  <c r="F285" i="1"/>
  <c r="F130" i="1"/>
  <c r="F108" i="1"/>
  <c r="F318" i="1"/>
  <c r="F55" i="1"/>
  <c r="F483" i="1"/>
  <c r="F254" i="1"/>
  <c r="F501" i="1"/>
  <c r="F194" i="1"/>
  <c r="F345" i="1"/>
  <c r="F53" i="1"/>
  <c r="F191" i="1"/>
  <c r="F241" i="1"/>
  <c r="F132" i="1"/>
  <c r="F186" i="1"/>
  <c r="F86" i="1"/>
  <c r="F394" i="1"/>
  <c r="F378" i="1"/>
  <c r="F335" i="1"/>
  <c r="F48" i="1"/>
  <c r="F47" i="1"/>
  <c r="F63" i="1"/>
  <c r="F218" i="1"/>
  <c r="F103" i="1"/>
  <c r="F153" i="1"/>
  <c r="F307" i="1"/>
  <c r="F416" i="1"/>
  <c r="F10" i="1"/>
  <c r="F78" i="1"/>
  <c r="F109" i="1"/>
  <c r="F495" i="1"/>
  <c r="F439" i="1"/>
  <c r="F266" i="1"/>
  <c r="F351" i="1"/>
  <c r="F41" i="1"/>
  <c r="F28" i="1"/>
  <c r="F251" i="1"/>
  <c r="F319" i="1"/>
  <c r="F45" i="1"/>
  <c r="F402" i="1"/>
  <c r="F199" i="1"/>
  <c r="F313" i="1"/>
  <c r="F249" i="1"/>
  <c r="F174" i="1"/>
  <c r="F204" i="1"/>
  <c r="F227" i="1"/>
  <c r="F143" i="1"/>
  <c r="F250" i="1"/>
  <c r="F164" i="1"/>
  <c r="F188" i="1"/>
  <c r="F30" i="1"/>
  <c r="F268" i="1"/>
  <c r="F448" i="1"/>
  <c r="F74" i="1"/>
  <c r="F364" i="1"/>
  <c r="F226" i="1"/>
  <c r="F213" i="1"/>
  <c r="F385" i="1"/>
  <c r="F137" i="1"/>
  <c r="F381" i="1"/>
  <c r="F24" i="1"/>
  <c r="F456" i="1"/>
  <c r="F129" i="1"/>
  <c r="F234" i="1"/>
  <c r="F119" i="1"/>
  <c r="F357" i="1"/>
  <c r="F340" i="1"/>
  <c r="F207" i="1"/>
  <c r="F145" i="1"/>
  <c r="F347" i="1"/>
  <c r="F123" i="1"/>
  <c r="F481" i="1"/>
  <c r="F216" i="1"/>
  <c r="F208" i="1"/>
  <c r="F75" i="1"/>
  <c r="F81" i="1"/>
  <c r="F418" i="1"/>
  <c r="F179" i="1"/>
  <c r="F154" i="1"/>
  <c r="F147" i="1"/>
  <c r="F157" i="1"/>
  <c r="F435" i="1"/>
  <c r="F350" i="1"/>
  <c r="F339" i="1"/>
  <c r="F193" i="1"/>
  <c r="F334" i="1"/>
  <c r="F59" i="1"/>
  <c r="F83" i="1"/>
  <c r="F124" i="1"/>
  <c r="F156" i="1"/>
  <c r="F306" i="1"/>
  <c r="F85" i="1"/>
  <c r="F337" i="1"/>
  <c r="F158" i="1"/>
  <c r="F183" i="1"/>
  <c r="F320" i="1"/>
  <c r="F376" i="1"/>
  <c r="F290" i="1"/>
  <c r="F341" i="1"/>
  <c r="F25" i="1"/>
  <c r="F343" i="1"/>
  <c r="F115" i="1"/>
  <c r="F196" i="1"/>
  <c r="F377" i="1"/>
  <c r="F401" i="1"/>
  <c r="F242" i="1"/>
  <c r="F198" i="1"/>
  <c r="F162" i="1"/>
  <c r="F410" i="1"/>
  <c r="F160" i="1"/>
  <c r="F200" i="1"/>
  <c r="F300" i="1"/>
  <c r="F370" i="1"/>
  <c r="F220" i="1"/>
  <c r="F312" i="1"/>
  <c r="F421" i="1"/>
  <c r="F8" i="1"/>
  <c r="F135" i="1"/>
  <c r="F87" i="1"/>
  <c r="F455" i="1"/>
  <c r="F219" i="1"/>
  <c r="F49" i="1"/>
  <c r="F189" i="1"/>
  <c r="F223" i="1"/>
  <c r="F445" i="1"/>
  <c r="F498" i="1"/>
  <c r="F211" i="1"/>
  <c r="F384" i="1"/>
  <c r="F236" i="1"/>
  <c r="F107" i="1"/>
  <c r="F176" i="1"/>
  <c r="F396" i="1"/>
  <c r="F231" i="1"/>
  <c r="F90" i="1"/>
  <c r="F398" i="1"/>
  <c r="F4" i="1"/>
  <c r="F305" i="1"/>
  <c r="F296" i="1"/>
  <c r="F101" i="1"/>
  <c r="F68" i="1"/>
  <c r="F173" i="1"/>
  <c r="F450" i="1"/>
  <c r="F281" i="1"/>
  <c r="F92" i="1"/>
  <c r="F322" i="1"/>
  <c r="F260" i="1"/>
  <c r="F454" i="1"/>
  <c r="F57" i="1"/>
  <c r="F146" i="1"/>
  <c r="F363" i="1"/>
  <c r="F82" i="1"/>
  <c r="F15" i="1"/>
  <c r="F294" i="1"/>
  <c r="F354" i="1"/>
  <c r="F438" i="1"/>
  <c r="F217" i="1"/>
  <c r="F43" i="1"/>
  <c r="F342" i="1"/>
  <c r="F323" i="1"/>
  <c r="F399" i="1"/>
  <c r="F96" i="1"/>
  <c r="F276" i="1"/>
  <c r="F291" i="1"/>
  <c r="F413" i="1"/>
  <c r="F406" i="1"/>
  <c r="F419" i="1"/>
  <c r="F32" i="1"/>
  <c r="F62" i="1"/>
  <c r="F284" i="1"/>
  <c r="F390" i="1"/>
  <c r="F202" i="1"/>
  <c r="F215" i="1"/>
  <c r="F20" i="1"/>
  <c r="F71" i="1"/>
  <c r="F38" i="1"/>
  <c r="F352" i="1"/>
  <c r="F417" i="1"/>
  <c r="F246" i="1"/>
  <c r="F42" i="1"/>
  <c r="F102" i="1"/>
  <c r="F209" i="1"/>
  <c r="F77" i="1"/>
  <c r="F97" i="1"/>
  <c r="F206" i="1"/>
  <c r="F395" i="1"/>
  <c r="F93" i="1"/>
  <c r="F152" i="1"/>
  <c r="F441" i="1"/>
  <c r="F360" i="1"/>
  <c r="F459" i="1"/>
  <c r="F494" i="1"/>
  <c r="F461" i="1"/>
  <c r="F134" i="1"/>
  <c r="F139" i="1"/>
  <c r="F302" i="1"/>
  <c r="F175" i="1"/>
  <c r="F270" i="1"/>
  <c r="F225" i="1"/>
  <c r="F80" i="1"/>
  <c r="F287" i="1"/>
  <c r="F159" i="1"/>
  <c r="F293" i="1"/>
  <c r="F240" i="1"/>
  <c r="F463" i="1"/>
  <c r="F273" i="1"/>
  <c r="F474" i="1"/>
  <c r="F468" i="1"/>
  <c r="F404" i="1"/>
  <c r="F272" i="1"/>
  <c r="F64" i="1"/>
  <c r="F436" i="1"/>
  <c r="F210" i="1"/>
  <c r="F295" i="1"/>
  <c r="F457" i="1"/>
  <c r="F283" i="1"/>
  <c r="F386" i="1"/>
  <c r="F229" i="1"/>
  <c r="F336" i="1"/>
  <c r="F54" i="1"/>
  <c r="F36" i="1"/>
  <c r="F122" i="1"/>
  <c r="F3" i="1"/>
  <c r="F5" i="1"/>
  <c r="F368" i="1"/>
  <c r="F232" i="1"/>
  <c r="F230" i="1"/>
  <c r="F267" i="1"/>
  <c r="F333" i="1"/>
  <c r="F426" i="1"/>
  <c r="F429" i="1"/>
  <c r="F473" i="1"/>
  <c r="F67" i="1"/>
  <c r="F328" i="1"/>
  <c r="F33" i="1"/>
  <c r="F383" i="1"/>
  <c r="F167" i="1"/>
  <c r="F171" i="1"/>
  <c r="F257" i="1"/>
  <c r="F70" i="1"/>
  <c r="F379" i="1"/>
  <c r="F289" i="1"/>
  <c r="F344" i="1"/>
  <c r="F39" i="1"/>
  <c r="F111" i="1"/>
  <c r="F247" i="1"/>
  <c r="F433" i="1"/>
  <c r="F72" i="1"/>
  <c r="F224" i="1"/>
  <c r="F237" i="1"/>
  <c r="F56" i="1"/>
  <c r="F26" i="1"/>
  <c r="F382" i="1"/>
  <c r="F485" i="1"/>
  <c r="F169" i="1"/>
  <c r="F255" i="1"/>
  <c r="F297" i="1"/>
  <c r="F181" i="1"/>
  <c r="F161" i="1"/>
  <c r="F392" i="1"/>
  <c r="F375" i="1"/>
  <c r="F11" i="1"/>
  <c r="F420" i="1"/>
  <c r="F23" i="1"/>
  <c r="F239" i="1"/>
  <c r="F476" i="1"/>
  <c r="F365" i="1"/>
  <c r="F493" i="1"/>
  <c r="F367" i="1"/>
  <c r="F79" i="1"/>
  <c r="F187" i="1"/>
  <c r="F496" i="1"/>
  <c r="F371" i="1"/>
  <c r="F197" i="1"/>
  <c r="F449" i="1"/>
  <c r="F165" i="1"/>
  <c r="F127" i="1"/>
  <c r="F359" i="1"/>
  <c r="F484" i="1"/>
  <c r="F110" i="1"/>
  <c r="F18" i="1"/>
  <c r="F472" i="1"/>
  <c r="F356" i="1"/>
  <c r="F331" i="1"/>
  <c r="F166" i="1"/>
  <c r="F76" i="1"/>
  <c r="F221" i="1"/>
  <c r="F195" i="1"/>
  <c r="F353" i="1"/>
  <c r="F409" i="1"/>
  <c r="F373" i="1"/>
  <c r="F292" i="1"/>
  <c r="F400" i="1"/>
  <c r="F277" i="1"/>
  <c r="F243" i="1"/>
  <c r="F126" i="1"/>
  <c r="F163" i="1"/>
  <c r="F326" i="1"/>
  <c r="F269" i="1"/>
  <c r="F462" i="1"/>
  <c r="F233" i="1"/>
  <c r="F303" i="1"/>
  <c r="F425" i="1"/>
  <c r="F185" i="1"/>
  <c r="F113" i="1"/>
  <c r="F279" i="1"/>
  <c r="F286" i="1"/>
  <c r="F245" i="1"/>
  <c r="F6" i="1"/>
  <c r="F69" i="1"/>
  <c r="F114" i="1"/>
  <c r="F37" i="1"/>
  <c r="F346" i="1"/>
  <c r="F128" i="1"/>
  <c r="F499" i="1"/>
  <c r="F424" i="1"/>
  <c r="F491" i="1"/>
  <c r="F46" i="1"/>
  <c r="F362" i="1"/>
  <c r="F121" i="1"/>
  <c r="F17" i="1"/>
  <c r="F13" i="1"/>
  <c r="F348" i="1"/>
  <c r="F355" i="1"/>
  <c r="F471" i="1"/>
  <c r="F453" i="1"/>
  <c r="F58" i="1"/>
  <c r="F488" i="1"/>
  <c r="F470" i="1"/>
  <c r="F434" i="1"/>
  <c r="F317" i="1"/>
  <c r="F66" i="1"/>
  <c r="F408" i="1"/>
  <c r="F366" i="1"/>
  <c r="F451" i="1"/>
  <c r="F314" i="1"/>
  <c r="F214" i="1"/>
  <c r="F391" i="1"/>
  <c r="F330" i="1"/>
  <c r="F288" i="1"/>
  <c r="F190" i="1"/>
  <c r="F411" i="1"/>
  <c r="F106" i="1"/>
  <c r="F489" i="1"/>
  <c r="F155" i="1"/>
  <c r="F168" i="1"/>
  <c r="F133" i="1"/>
  <c r="F447" i="1"/>
  <c r="F116" i="1"/>
  <c r="F500" i="1"/>
  <c r="F490" i="1"/>
  <c r="F310" i="1"/>
  <c r="F432" i="1"/>
  <c r="F301" i="1"/>
  <c r="F112" i="1"/>
  <c r="F201" i="1"/>
  <c r="F415" i="1"/>
  <c r="F397" i="1"/>
  <c r="F369" i="1"/>
  <c r="F271" i="1"/>
  <c r="F12" i="1"/>
  <c r="F332" i="1"/>
  <c r="F361" i="1"/>
  <c r="F21" i="1"/>
  <c r="F136" i="1"/>
  <c r="F35" i="1"/>
  <c r="F492" i="1"/>
  <c r="F458" i="1"/>
  <c r="F372" i="1"/>
  <c r="F475" i="1"/>
  <c r="F203" i="1"/>
  <c r="F73" i="1"/>
  <c r="F431" i="1"/>
  <c r="F142" i="1"/>
  <c r="F192" i="1"/>
  <c r="F138" i="1"/>
  <c r="F263" i="1"/>
  <c r="F52" i="1"/>
  <c r="F309" i="1"/>
  <c r="F150" i="1"/>
  <c r="F393" i="1"/>
  <c r="F94" i="1"/>
  <c r="F151" i="1"/>
  <c r="F44" i="1"/>
  <c r="F486" i="1"/>
  <c r="F422" i="1"/>
  <c r="F403" i="1"/>
  <c r="F278" i="1"/>
  <c r="F380" i="1"/>
  <c r="F389" i="1"/>
  <c r="F261" i="1"/>
  <c r="F423" i="1"/>
  <c r="F374" i="1"/>
  <c r="F91" i="1"/>
  <c r="F14" i="1"/>
  <c r="F100" i="1"/>
  <c r="F131" i="1"/>
  <c r="F460" i="1"/>
  <c r="F298" i="1"/>
  <c r="F117" i="1"/>
  <c r="F89" i="1"/>
  <c r="F9" i="1"/>
  <c r="F437" i="1"/>
  <c r="F428" i="1"/>
  <c r="F118" i="1"/>
  <c r="F467" i="1"/>
  <c r="F228" i="1"/>
  <c r="F464" i="1"/>
  <c r="F387" i="1"/>
  <c r="F144" i="1"/>
  <c r="F259" i="1"/>
  <c r="F311" i="1"/>
  <c r="F304" i="1"/>
  <c r="F125" i="1"/>
  <c r="F65" i="1"/>
  <c r="F338" i="1"/>
  <c r="F482" i="1"/>
  <c r="F262" i="1"/>
  <c r="F405" i="1"/>
  <c r="F95" i="1"/>
  <c r="F244" i="1"/>
  <c r="F465" i="1"/>
  <c r="F7" i="1"/>
  <c r="F265" i="1"/>
  <c r="F178" i="1"/>
  <c r="F222" i="1"/>
  <c r="F50" i="1"/>
  <c r="F177" i="1"/>
  <c r="F22" i="1"/>
  <c r="F329" i="1"/>
  <c r="F274" i="1"/>
  <c r="F253" i="1"/>
  <c r="F19" i="1"/>
  <c r="F275" i="1"/>
  <c r="F440" i="1"/>
  <c r="F34" i="1"/>
  <c r="F358" i="1"/>
  <c r="F180" i="1"/>
  <c r="F407" i="1"/>
  <c r="F479" i="1"/>
  <c r="F105" i="1"/>
  <c r="F238" i="1"/>
  <c r="F98" i="1"/>
  <c r="F40" i="1"/>
  <c r="F264" i="1"/>
  <c r="G208" i="1"/>
  <c r="E325" i="1"/>
  <c r="G325" i="1" s="1"/>
  <c r="E412" i="1"/>
  <c r="G412" i="1" s="1"/>
  <c r="E256" i="1"/>
  <c r="G256" i="1" s="1"/>
  <c r="E316" i="1"/>
  <c r="G316" i="1" s="1"/>
  <c r="E31" i="1"/>
  <c r="G31" i="1" s="1"/>
  <c r="E212" i="1"/>
  <c r="G212" i="1" s="1"/>
  <c r="E469" i="1"/>
  <c r="G469" i="1" s="1"/>
  <c r="E182" i="1"/>
  <c r="G182" i="1" s="1"/>
  <c r="E308" i="1"/>
  <c r="G308" i="1" s="1"/>
  <c r="E104" i="1"/>
  <c r="G104" i="1" s="1"/>
  <c r="E446" i="1"/>
  <c r="G446" i="1" s="1"/>
  <c r="E324" i="1"/>
  <c r="G324" i="1" s="1"/>
  <c r="E84" i="1"/>
  <c r="G84" i="1" s="1"/>
  <c r="E388" i="1"/>
  <c r="G388" i="1" s="1"/>
  <c r="E299" i="1"/>
  <c r="G299" i="1" s="1"/>
  <c r="E248" i="1"/>
  <c r="G248" i="1" s="1"/>
  <c r="E16" i="1"/>
  <c r="G16" i="1" s="1"/>
  <c r="E120" i="1"/>
  <c r="G120" i="1" s="1"/>
  <c r="E280" i="1"/>
  <c r="G280" i="1" s="1"/>
  <c r="E480" i="1"/>
  <c r="G480" i="1" s="1"/>
  <c r="E184" i="1"/>
  <c r="G184" i="1" s="1"/>
  <c r="E478" i="1"/>
  <c r="G478" i="1" s="1"/>
  <c r="E327" i="1"/>
  <c r="G327" i="1" s="1"/>
  <c r="E466" i="1"/>
  <c r="G466" i="1" s="1"/>
  <c r="E442" i="1"/>
  <c r="G442" i="1" s="1"/>
  <c r="E430" i="1"/>
  <c r="G430" i="1" s="1"/>
  <c r="E427" i="1"/>
  <c r="G427" i="1" s="1"/>
  <c r="E444" i="1"/>
  <c r="G444" i="1" s="1"/>
  <c r="E321" i="1"/>
  <c r="G321" i="1" s="1"/>
  <c r="E315" i="1"/>
  <c r="G315" i="1" s="1"/>
  <c r="E443" i="1"/>
  <c r="G443" i="1" s="1"/>
  <c r="E2" i="1"/>
  <c r="G2" i="1" s="1"/>
  <c r="E172" i="1"/>
  <c r="G172" i="1" s="1"/>
  <c r="E452" i="1"/>
  <c r="G452" i="1" s="1"/>
  <c r="E148" i="1"/>
  <c r="G148" i="1" s="1"/>
  <c r="E282" i="1"/>
  <c r="G282" i="1" s="1"/>
  <c r="E141" i="1"/>
  <c r="G141" i="1" s="1"/>
  <c r="E27" i="1"/>
  <c r="G27" i="1" s="1"/>
  <c r="E349" i="1"/>
  <c r="G349" i="1" s="1"/>
  <c r="E88" i="1"/>
  <c r="G88" i="1" s="1"/>
  <c r="E149" i="1"/>
  <c r="G149" i="1" s="1"/>
  <c r="E487" i="1"/>
  <c r="G487" i="1" s="1"/>
  <c r="E29" i="1"/>
  <c r="G29" i="1" s="1"/>
  <c r="E51" i="1"/>
  <c r="G51" i="1" s="1"/>
  <c r="E497" i="1"/>
  <c r="G497" i="1" s="1"/>
  <c r="E99" i="1"/>
  <c r="G99" i="1" s="1"/>
  <c r="E252" i="1"/>
  <c r="G252" i="1" s="1"/>
  <c r="E235" i="1"/>
  <c r="G235" i="1" s="1"/>
  <c r="E205" i="1"/>
  <c r="G205" i="1" s="1"/>
  <c r="E140" i="1"/>
  <c r="G140" i="1" s="1"/>
  <c r="E61" i="1"/>
  <c r="G61" i="1" s="1"/>
  <c r="E258" i="1"/>
  <c r="G258" i="1" s="1"/>
  <c r="E414" i="1"/>
  <c r="G414" i="1" s="1"/>
  <c r="E170" i="1"/>
  <c r="G170" i="1" s="1"/>
  <c r="E60" i="1"/>
  <c r="G60" i="1" s="1"/>
  <c r="E477" i="1"/>
  <c r="G477" i="1" s="1"/>
  <c r="E285" i="1"/>
  <c r="G285" i="1" s="1"/>
  <c r="E130" i="1"/>
  <c r="G130" i="1" s="1"/>
  <c r="E108" i="1"/>
  <c r="G108" i="1" s="1"/>
  <c r="E318" i="1"/>
  <c r="G318" i="1" s="1"/>
  <c r="E55" i="1"/>
  <c r="G55" i="1" s="1"/>
  <c r="E483" i="1"/>
  <c r="G483" i="1" s="1"/>
  <c r="E254" i="1"/>
  <c r="G254" i="1" s="1"/>
  <c r="E501" i="1"/>
  <c r="G501" i="1" s="1"/>
  <c r="E194" i="1"/>
  <c r="G194" i="1" s="1"/>
  <c r="E345" i="1"/>
  <c r="G345" i="1" s="1"/>
  <c r="E53" i="1"/>
  <c r="G53" i="1" s="1"/>
  <c r="E191" i="1"/>
  <c r="G191" i="1" s="1"/>
  <c r="E241" i="1"/>
  <c r="G241" i="1" s="1"/>
  <c r="E132" i="1"/>
  <c r="G132" i="1" s="1"/>
  <c r="E186" i="1"/>
  <c r="G186" i="1" s="1"/>
  <c r="E86" i="1"/>
  <c r="G86" i="1" s="1"/>
  <c r="E394" i="1"/>
  <c r="G394" i="1" s="1"/>
  <c r="E378" i="1"/>
  <c r="G378" i="1" s="1"/>
  <c r="E335" i="1"/>
  <c r="G335" i="1" s="1"/>
  <c r="E48" i="1"/>
  <c r="G48" i="1" s="1"/>
  <c r="E47" i="1"/>
  <c r="G47" i="1" s="1"/>
  <c r="E63" i="1"/>
  <c r="G63" i="1" s="1"/>
  <c r="E218" i="1"/>
  <c r="G218" i="1" s="1"/>
  <c r="E103" i="1"/>
  <c r="G103" i="1" s="1"/>
  <c r="E153" i="1"/>
  <c r="G153" i="1" s="1"/>
  <c r="E307" i="1"/>
  <c r="G307" i="1" s="1"/>
  <c r="E416" i="1"/>
  <c r="G416" i="1" s="1"/>
  <c r="E10" i="1"/>
  <c r="G10" i="1" s="1"/>
  <c r="E78" i="1"/>
  <c r="G78" i="1" s="1"/>
  <c r="E109" i="1"/>
  <c r="G109" i="1" s="1"/>
  <c r="E495" i="1"/>
  <c r="G495" i="1" s="1"/>
  <c r="E439" i="1"/>
  <c r="G439" i="1" s="1"/>
  <c r="E266" i="1"/>
  <c r="G266" i="1" s="1"/>
  <c r="E351" i="1"/>
  <c r="G351" i="1" s="1"/>
  <c r="E41" i="1"/>
  <c r="G41" i="1" s="1"/>
  <c r="E28" i="1"/>
  <c r="G28" i="1" s="1"/>
  <c r="E251" i="1"/>
  <c r="G251" i="1" s="1"/>
  <c r="E319" i="1"/>
  <c r="G319" i="1" s="1"/>
  <c r="E45" i="1"/>
  <c r="G45" i="1" s="1"/>
  <c r="E402" i="1"/>
  <c r="G402" i="1" s="1"/>
  <c r="E199" i="1"/>
  <c r="G199" i="1" s="1"/>
  <c r="E313" i="1"/>
  <c r="G313" i="1" s="1"/>
  <c r="E249" i="1"/>
  <c r="G249" i="1" s="1"/>
  <c r="E174" i="1"/>
  <c r="G174" i="1" s="1"/>
  <c r="E204" i="1"/>
  <c r="G204" i="1" s="1"/>
  <c r="E227" i="1"/>
  <c r="G227" i="1" s="1"/>
  <c r="E143" i="1"/>
  <c r="G143" i="1" s="1"/>
  <c r="E250" i="1"/>
  <c r="G250" i="1" s="1"/>
  <c r="E164" i="1"/>
  <c r="G164" i="1" s="1"/>
  <c r="E188" i="1"/>
  <c r="G188" i="1" s="1"/>
  <c r="E30" i="1"/>
  <c r="G30" i="1" s="1"/>
  <c r="E268" i="1"/>
  <c r="G268" i="1" s="1"/>
  <c r="E448" i="1"/>
  <c r="G448" i="1" s="1"/>
  <c r="E74" i="1"/>
  <c r="G74" i="1" s="1"/>
  <c r="E364" i="1"/>
  <c r="G364" i="1" s="1"/>
  <c r="E226" i="1"/>
  <c r="G226" i="1" s="1"/>
  <c r="E213" i="1"/>
  <c r="G213" i="1" s="1"/>
  <c r="E385" i="1"/>
  <c r="G385" i="1" s="1"/>
  <c r="E137" i="1"/>
  <c r="G137" i="1" s="1"/>
  <c r="E381" i="1"/>
  <c r="G381" i="1" s="1"/>
  <c r="E24" i="1"/>
  <c r="G24" i="1" s="1"/>
  <c r="E456" i="1"/>
  <c r="G456" i="1" s="1"/>
  <c r="E129" i="1"/>
  <c r="G129" i="1" s="1"/>
  <c r="E234" i="1"/>
  <c r="G234" i="1" s="1"/>
  <c r="E119" i="1"/>
  <c r="G119" i="1" s="1"/>
  <c r="E357" i="1"/>
  <c r="G357" i="1" s="1"/>
  <c r="E340" i="1"/>
  <c r="G340" i="1" s="1"/>
  <c r="E207" i="1"/>
  <c r="G207" i="1" s="1"/>
  <c r="E145" i="1"/>
  <c r="G145" i="1" s="1"/>
  <c r="E347" i="1"/>
  <c r="G347" i="1" s="1"/>
  <c r="E123" i="1"/>
  <c r="G123" i="1" s="1"/>
  <c r="E481" i="1"/>
  <c r="G481" i="1" s="1"/>
  <c r="E216" i="1"/>
  <c r="G216" i="1" s="1"/>
  <c r="E208" i="1"/>
  <c r="E75" i="1"/>
  <c r="G75" i="1" s="1"/>
  <c r="E81" i="1"/>
  <c r="G81" i="1" s="1"/>
  <c r="E418" i="1"/>
  <c r="G418" i="1" s="1"/>
  <c r="E179" i="1"/>
  <c r="G179" i="1" s="1"/>
  <c r="E154" i="1"/>
  <c r="G154" i="1" s="1"/>
  <c r="E147" i="1"/>
  <c r="G147" i="1" s="1"/>
  <c r="E157" i="1"/>
  <c r="G157" i="1" s="1"/>
  <c r="E435" i="1"/>
  <c r="G435" i="1" s="1"/>
  <c r="E350" i="1"/>
  <c r="G350" i="1" s="1"/>
  <c r="E339" i="1"/>
  <c r="G339" i="1" s="1"/>
  <c r="E193" i="1"/>
  <c r="G193" i="1" s="1"/>
  <c r="E334" i="1"/>
  <c r="G334" i="1" s="1"/>
  <c r="E59" i="1"/>
  <c r="G59" i="1" s="1"/>
  <c r="E83" i="1"/>
  <c r="G83" i="1" s="1"/>
  <c r="E124" i="1"/>
  <c r="G124" i="1" s="1"/>
  <c r="E156" i="1"/>
  <c r="G156" i="1" s="1"/>
  <c r="E306" i="1"/>
  <c r="G306" i="1" s="1"/>
  <c r="E85" i="1"/>
  <c r="G85" i="1" s="1"/>
  <c r="E337" i="1"/>
  <c r="G337" i="1" s="1"/>
  <c r="E158" i="1"/>
  <c r="G158" i="1" s="1"/>
  <c r="E183" i="1"/>
  <c r="G183" i="1" s="1"/>
  <c r="E320" i="1"/>
  <c r="G320" i="1" s="1"/>
  <c r="E376" i="1"/>
  <c r="G376" i="1" s="1"/>
  <c r="E290" i="1"/>
  <c r="G290" i="1" s="1"/>
  <c r="E341" i="1"/>
  <c r="G341" i="1" s="1"/>
  <c r="E25" i="1"/>
  <c r="G25" i="1" s="1"/>
  <c r="E343" i="1"/>
  <c r="G343" i="1" s="1"/>
  <c r="E115" i="1"/>
  <c r="G115" i="1" s="1"/>
  <c r="E196" i="1"/>
  <c r="G196" i="1" s="1"/>
  <c r="E377" i="1"/>
  <c r="G377" i="1" s="1"/>
  <c r="E401" i="1"/>
  <c r="G401" i="1" s="1"/>
  <c r="E242" i="1"/>
  <c r="G242" i="1" s="1"/>
  <c r="E198" i="1"/>
  <c r="G198" i="1" s="1"/>
  <c r="E162" i="1"/>
  <c r="G162" i="1" s="1"/>
  <c r="E410" i="1"/>
  <c r="G410" i="1" s="1"/>
  <c r="E160" i="1"/>
  <c r="G160" i="1" s="1"/>
  <c r="E200" i="1"/>
  <c r="G200" i="1" s="1"/>
  <c r="E300" i="1"/>
  <c r="G300" i="1" s="1"/>
  <c r="E370" i="1"/>
  <c r="G370" i="1" s="1"/>
  <c r="E220" i="1"/>
  <c r="G220" i="1" s="1"/>
  <c r="E312" i="1"/>
  <c r="G312" i="1" s="1"/>
  <c r="E421" i="1"/>
  <c r="G421" i="1" s="1"/>
  <c r="E8" i="1"/>
  <c r="G8" i="1" s="1"/>
  <c r="E135" i="1"/>
  <c r="G135" i="1" s="1"/>
  <c r="E87" i="1"/>
  <c r="G87" i="1" s="1"/>
  <c r="E455" i="1"/>
  <c r="G455" i="1" s="1"/>
  <c r="E219" i="1"/>
  <c r="G219" i="1" s="1"/>
  <c r="E49" i="1"/>
  <c r="G49" i="1" s="1"/>
  <c r="E189" i="1"/>
  <c r="G189" i="1" s="1"/>
  <c r="E223" i="1"/>
  <c r="G223" i="1" s="1"/>
  <c r="E445" i="1"/>
  <c r="G445" i="1" s="1"/>
  <c r="E498" i="1"/>
  <c r="G498" i="1" s="1"/>
  <c r="E211" i="1"/>
  <c r="G211" i="1" s="1"/>
  <c r="E384" i="1"/>
  <c r="G384" i="1" s="1"/>
  <c r="E236" i="1"/>
  <c r="G236" i="1" s="1"/>
  <c r="E107" i="1"/>
  <c r="G107" i="1" s="1"/>
  <c r="E176" i="1"/>
  <c r="G176" i="1" s="1"/>
  <c r="E396" i="1"/>
  <c r="G396" i="1" s="1"/>
  <c r="E231" i="1"/>
  <c r="G231" i="1" s="1"/>
  <c r="E90" i="1"/>
  <c r="G90" i="1" s="1"/>
  <c r="E398" i="1"/>
  <c r="G398" i="1" s="1"/>
  <c r="E4" i="1"/>
  <c r="G4" i="1" s="1"/>
  <c r="E305" i="1"/>
  <c r="G305" i="1" s="1"/>
  <c r="E296" i="1"/>
  <c r="G296" i="1" s="1"/>
  <c r="E101" i="1"/>
  <c r="G101" i="1" s="1"/>
  <c r="E68" i="1"/>
  <c r="G68" i="1" s="1"/>
  <c r="E173" i="1"/>
  <c r="G173" i="1" s="1"/>
  <c r="E450" i="1"/>
  <c r="G450" i="1" s="1"/>
  <c r="E281" i="1"/>
  <c r="G281" i="1" s="1"/>
  <c r="E92" i="1"/>
  <c r="G92" i="1" s="1"/>
  <c r="E322" i="1"/>
  <c r="G322" i="1" s="1"/>
  <c r="E260" i="1"/>
  <c r="G260" i="1" s="1"/>
  <c r="E454" i="1"/>
  <c r="G454" i="1" s="1"/>
  <c r="E57" i="1"/>
  <c r="G57" i="1" s="1"/>
  <c r="E146" i="1"/>
  <c r="G146" i="1" s="1"/>
  <c r="E363" i="1"/>
  <c r="G363" i="1" s="1"/>
  <c r="E82" i="1"/>
  <c r="G82" i="1" s="1"/>
  <c r="E15" i="1"/>
  <c r="G15" i="1" s="1"/>
  <c r="E294" i="1"/>
  <c r="G294" i="1" s="1"/>
  <c r="E354" i="1"/>
  <c r="G354" i="1" s="1"/>
  <c r="E438" i="1"/>
  <c r="G438" i="1" s="1"/>
  <c r="E217" i="1"/>
  <c r="G217" i="1" s="1"/>
  <c r="E43" i="1"/>
  <c r="G43" i="1" s="1"/>
  <c r="E342" i="1"/>
  <c r="G342" i="1" s="1"/>
  <c r="E323" i="1"/>
  <c r="G323" i="1" s="1"/>
  <c r="E399" i="1"/>
  <c r="G399" i="1" s="1"/>
  <c r="E96" i="1"/>
  <c r="G96" i="1" s="1"/>
  <c r="E276" i="1"/>
  <c r="G276" i="1" s="1"/>
  <c r="E291" i="1"/>
  <c r="G291" i="1" s="1"/>
  <c r="E413" i="1"/>
  <c r="G413" i="1" s="1"/>
  <c r="E406" i="1"/>
  <c r="G406" i="1" s="1"/>
  <c r="E419" i="1"/>
  <c r="G419" i="1" s="1"/>
  <c r="E32" i="1"/>
  <c r="G32" i="1" s="1"/>
  <c r="E62" i="1"/>
  <c r="G62" i="1" s="1"/>
  <c r="E284" i="1"/>
  <c r="G284" i="1" s="1"/>
  <c r="E390" i="1"/>
  <c r="G390" i="1" s="1"/>
  <c r="E202" i="1"/>
  <c r="G202" i="1" s="1"/>
  <c r="E215" i="1"/>
  <c r="G215" i="1" s="1"/>
  <c r="E20" i="1"/>
  <c r="G20" i="1" s="1"/>
  <c r="E71" i="1"/>
  <c r="G71" i="1" s="1"/>
  <c r="E38" i="1"/>
  <c r="G38" i="1" s="1"/>
  <c r="E352" i="1"/>
  <c r="G352" i="1" s="1"/>
  <c r="E417" i="1"/>
  <c r="G417" i="1" s="1"/>
  <c r="E246" i="1"/>
  <c r="G246" i="1" s="1"/>
  <c r="E42" i="1"/>
  <c r="G42" i="1" s="1"/>
  <c r="E102" i="1"/>
  <c r="G102" i="1" s="1"/>
  <c r="E209" i="1"/>
  <c r="G209" i="1" s="1"/>
  <c r="E77" i="1"/>
  <c r="G77" i="1" s="1"/>
  <c r="E97" i="1"/>
  <c r="G97" i="1" s="1"/>
  <c r="E206" i="1"/>
  <c r="G206" i="1" s="1"/>
  <c r="E395" i="1"/>
  <c r="G395" i="1" s="1"/>
  <c r="E93" i="1"/>
  <c r="G93" i="1" s="1"/>
  <c r="E152" i="1"/>
  <c r="G152" i="1" s="1"/>
  <c r="E441" i="1"/>
  <c r="G441" i="1" s="1"/>
  <c r="E360" i="1"/>
  <c r="G360" i="1" s="1"/>
  <c r="E459" i="1"/>
  <c r="G459" i="1" s="1"/>
  <c r="E494" i="1"/>
  <c r="G494" i="1" s="1"/>
  <c r="E461" i="1"/>
  <c r="G461" i="1" s="1"/>
  <c r="E134" i="1"/>
  <c r="G134" i="1" s="1"/>
  <c r="E139" i="1"/>
  <c r="G139" i="1" s="1"/>
  <c r="E302" i="1"/>
  <c r="G302" i="1" s="1"/>
  <c r="E175" i="1"/>
  <c r="G175" i="1" s="1"/>
  <c r="E270" i="1"/>
  <c r="G270" i="1" s="1"/>
  <c r="E225" i="1"/>
  <c r="G225" i="1" s="1"/>
  <c r="E80" i="1"/>
  <c r="G80" i="1" s="1"/>
  <c r="E287" i="1"/>
  <c r="G287" i="1" s="1"/>
  <c r="E159" i="1"/>
  <c r="G159" i="1" s="1"/>
  <c r="E293" i="1"/>
  <c r="G293" i="1" s="1"/>
  <c r="E240" i="1"/>
  <c r="G240" i="1" s="1"/>
  <c r="E463" i="1"/>
  <c r="G463" i="1" s="1"/>
  <c r="E273" i="1"/>
  <c r="G273" i="1" s="1"/>
  <c r="E474" i="1"/>
  <c r="G474" i="1" s="1"/>
  <c r="E468" i="1"/>
  <c r="G468" i="1" s="1"/>
  <c r="E404" i="1"/>
  <c r="G404" i="1" s="1"/>
  <c r="E272" i="1"/>
  <c r="G272" i="1" s="1"/>
  <c r="E64" i="1"/>
  <c r="G64" i="1" s="1"/>
  <c r="E436" i="1"/>
  <c r="G436" i="1" s="1"/>
  <c r="E210" i="1"/>
  <c r="G210" i="1" s="1"/>
  <c r="E295" i="1"/>
  <c r="G295" i="1" s="1"/>
  <c r="E457" i="1"/>
  <c r="G457" i="1" s="1"/>
  <c r="E283" i="1"/>
  <c r="G283" i="1" s="1"/>
  <c r="E386" i="1"/>
  <c r="G386" i="1" s="1"/>
  <c r="E229" i="1"/>
  <c r="G229" i="1" s="1"/>
  <c r="E336" i="1"/>
  <c r="G336" i="1" s="1"/>
  <c r="E54" i="1"/>
  <c r="G54" i="1" s="1"/>
  <c r="E36" i="1"/>
  <c r="G36" i="1" s="1"/>
  <c r="E122" i="1"/>
  <c r="G122" i="1" s="1"/>
  <c r="E3" i="1"/>
  <c r="G3" i="1" s="1"/>
  <c r="E5" i="1"/>
  <c r="G5" i="1" s="1"/>
  <c r="E368" i="1"/>
  <c r="G368" i="1" s="1"/>
  <c r="E232" i="1"/>
  <c r="G232" i="1" s="1"/>
  <c r="E230" i="1"/>
  <c r="G230" i="1" s="1"/>
  <c r="E267" i="1"/>
  <c r="G267" i="1" s="1"/>
  <c r="E333" i="1"/>
  <c r="G333" i="1" s="1"/>
  <c r="E426" i="1"/>
  <c r="G426" i="1" s="1"/>
  <c r="E429" i="1"/>
  <c r="G429" i="1" s="1"/>
  <c r="E473" i="1"/>
  <c r="G473" i="1" s="1"/>
  <c r="E67" i="1"/>
  <c r="G67" i="1" s="1"/>
  <c r="E328" i="1"/>
  <c r="G328" i="1" s="1"/>
  <c r="E33" i="1"/>
  <c r="G33" i="1" s="1"/>
  <c r="E383" i="1"/>
  <c r="G383" i="1" s="1"/>
  <c r="E167" i="1"/>
  <c r="G167" i="1" s="1"/>
  <c r="E171" i="1"/>
  <c r="G171" i="1" s="1"/>
  <c r="E257" i="1"/>
  <c r="G257" i="1" s="1"/>
  <c r="E70" i="1"/>
  <c r="G70" i="1" s="1"/>
  <c r="E379" i="1"/>
  <c r="G379" i="1" s="1"/>
  <c r="E289" i="1"/>
  <c r="G289" i="1" s="1"/>
  <c r="E344" i="1"/>
  <c r="G344" i="1" s="1"/>
  <c r="E39" i="1"/>
  <c r="G39" i="1" s="1"/>
  <c r="E111" i="1"/>
  <c r="G111" i="1" s="1"/>
  <c r="E247" i="1"/>
  <c r="G247" i="1" s="1"/>
  <c r="E433" i="1"/>
  <c r="G433" i="1" s="1"/>
  <c r="E72" i="1"/>
  <c r="G72" i="1" s="1"/>
  <c r="E224" i="1"/>
  <c r="G224" i="1" s="1"/>
  <c r="E237" i="1"/>
  <c r="G237" i="1" s="1"/>
  <c r="E56" i="1"/>
  <c r="G56" i="1" s="1"/>
  <c r="E26" i="1"/>
  <c r="G26" i="1" s="1"/>
  <c r="E382" i="1"/>
  <c r="G382" i="1" s="1"/>
  <c r="E485" i="1"/>
  <c r="G485" i="1" s="1"/>
  <c r="E169" i="1"/>
  <c r="G169" i="1" s="1"/>
  <c r="E255" i="1"/>
  <c r="G255" i="1" s="1"/>
  <c r="E297" i="1"/>
  <c r="G297" i="1" s="1"/>
  <c r="E181" i="1"/>
  <c r="G181" i="1" s="1"/>
  <c r="E161" i="1"/>
  <c r="G161" i="1" s="1"/>
  <c r="E392" i="1"/>
  <c r="G392" i="1" s="1"/>
  <c r="E375" i="1"/>
  <c r="G375" i="1" s="1"/>
  <c r="E11" i="1"/>
  <c r="G11" i="1" s="1"/>
  <c r="E420" i="1"/>
  <c r="G420" i="1" s="1"/>
  <c r="E23" i="1"/>
  <c r="G23" i="1" s="1"/>
  <c r="E239" i="1"/>
  <c r="G239" i="1" s="1"/>
  <c r="E476" i="1"/>
  <c r="G476" i="1" s="1"/>
  <c r="E365" i="1"/>
  <c r="G365" i="1" s="1"/>
  <c r="E493" i="1"/>
  <c r="G493" i="1" s="1"/>
  <c r="E367" i="1"/>
  <c r="G367" i="1" s="1"/>
  <c r="E79" i="1"/>
  <c r="G79" i="1" s="1"/>
  <c r="E187" i="1"/>
  <c r="G187" i="1" s="1"/>
  <c r="E496" i="1"/>
  <c r="G496" i="1" s="1"/>
  <c r="E371" i="1"/>
  <c r="G371" i="1" s="1"/>
  <c r="E197" i="1"/>
  <c r="G197" i="1" s="1"/>
  <c r="E449" i="1"/>
  <c r="G449" i="1" s="1"/>
  <c r="E165" i="1"/>
  <c r="G165" i="1" s="1"/>
  <c r="E127" i="1"/>
  <c r="G127" i="1" s="1"/>
  <c r="E359" i="1"/>
  <c r="G359" i="1" s="1"/>
  <c r="E484" i="1"/>
  <c r="G484" i="1" s="1"/>
  <c r="E110" i="1"/>
  <c r="G110" i="1" s="1"/>
  <c r="E18" i="1"/>
  <c r="G18" i="1" s="1"/>
  <c r="E472" i="1"/>
  <c r="G472" i="1" s="1"/>
  <c r="E356" i="1"/>
  <c r="G356" i="1" s="1"/>
  <c r="E331" i="1"/>
  <c r="G331" i="1" s="1"/>
  <c r="E166" i="1"/>
  <c r="G166" i="1" s="1"/>
  <c r="E76" i="1"/>
  <c r="G76" i="1" s="1"/>
  <c r="E221" i="1"/>
  <c r="G221" i="1" s="1"/>
  <c r="E195" i="1"/>
  <c r="G195" i="1" s="1"/>
  <c r="E353" i="1"/>
  <c r="G353" i="1" s="1"/>
  <c r="E409" i="1"/>
  <c r="G409" i="1" s="1"/>
  <c r="E373" i="1"/>
  <c r="G373" i="1" s="1"/>
  <c r="E292" i="1"/>
  <c r="G292" i="1" s="1"/>
  <c r="E400" i="1"/>
  <c r="G400" i="1" s="1"/>
  <c r="E277" i="1"/>
  <c r="G277" i="1" s="1"/>
  <c r="E243" i="1"/>
  <c r="G243" i="1" s="1"/>
  <c r="E126" i="1"/>
  <c r="G126" i="1" s="1"/>
  <c r="E163" i="1"/>
  <c r="G163" i="1" s="1"/>
  <c r="E326" i="1"/>
  <c r="G326" i="1" s="1"/>
  <c r="E269" i="1"/>
  <c r="G269" i="1" s="1"/>
  <c r="E462" i="1"/>
  <c r="G462" i="1" s="1"/>
  <c r="E233" i="1"/>
  <c r="G233" i="1" s="1"/>
  <c r="E303" i="1"/>
  <c r="G303" i="1" s="1"/>
  <c r="E425" i="1"/>
  <c r="G425" i="1" s="1"/>
  <c r="E185" i="1"/>
  <c r="G185" i="1" s="1"/>
  <c r="E113" i="1"/>
  <c r="G113" i="1" s="1"/>
  <c r="E279" i="1"/>
  <c r="G279" i="1" s="1"/>
  <c r="E286" i="1"/>
  <c r="G286" i="1" s="1"/>
  <c r="E245" i="1"/>
  <c r="G245" i="1" s="1"/>
  <c r="E6" i="1"/>
  <c r="G6" i="1" s="1"/>
  <c r="E69" i="1"/>
  <c r="G69" i="1" s="1"/>
  <c r="E114" i="1"/>
  <c r="G114" i="1" s="1"/>
  <c r="E37" i="1"/>
  <c r="G37" i="1" s="1"/>
  <c r="E346" i="1"/>
  <c r="G346" i="1" s="1"/>
  <c r="E128" i="1"/>
  <c r="G128" i="1" s="1"/>
  <c r="E499" i="1"/>
  <c r="G499" i="1" s="1"/>
  <c r="E424" i="1"/>
  <c r="G424" i="1" s="1"/>
  <c r="E491" i="1"/>
  <c r="G491" i="1" s="1"/>
  <c r="E46" i="1"/>
  <c r="G46" i="1" s="1"/>
  <c r="E362" i="1"/>
  <c r="G362" i="1" s="1"/>
  <c r="E121" i="1"/>
  <c r="G121" i="1" s="1"/>
  <c r="E17" i="1"/>
  <c r="G17" i="1" s="1"/>
  <c r="E13" i="1"/>
  <c r="G13" i="1" s="1"/>
  <c r="E348" i="1"/>
  <c r="G348" i="1" s="1"/>
  <c r="E355" i="1"/>
  <c r="G355" i="1" s="1"/>
  <c r="E471" i="1"/>
  <c r="G471" i="1" s="1"/>
  <c r="E453" i="1"/>
  <c r="G453" i="1" s="1"/>
  <c r="E58" i="1"/>
  <c r="G58" i="1" s="1"/>
  <c r="E488" i="1"/>
  <c r="G488" i="1" s="1"/>
  <c r="E470" i="1"/>
  <c r="G470" i="1" s="1"/>
  <c r="E434" i="1"/>
  <c r="G434" i="1" s="1"/>
  <c r="E317" i="1"/>
  <c r="G317" i="1" s="1"/>
  <c r="E66" i="1"/>
  <c r="G66" i="1" s="1"/>
  <c r="E408" i="1"/>
  <c r="G408" i="1" s="1"/>
  <c r="E366" i="1"/>
  <c r="G366" i="1" s="1"/>
  <c r="E451" i="1"/>
  <c r="G451" i="1" s="1"/>
  <c r="E314" i="1"/>
  <c r="G314" i="1" s="1"/>
  <c r="E214" i="1"/>
  <c r="G214" i="1" s="1"/>
  <c r="E391" i="1"/>
  <c r="G391" i="1" s="1"/>
  <c r="E330" i="1"/>
  <c r="G330" i="1" s="1"/>
  <c r="E288" i="1"/>
  <c r="G288" i="1" s="1"/>
  <c r="E190" i="1"/>
  <c r="G190" i="1" s="1"/>
  <c r="E411" i="1"/>
  <c r="G411" i="1" s="1"/>
  <c r="E106" i="1"/>
  <c r="G106" i="1" s="1"/>
  <c r="E489" i="1"/>
  <c r="G489" i="1" s="1"/>
  <c r="E155" i="1"/>
  <c r="G155" i="1" s="1"/>
  <c r="E168" i="1"/>
  <c r="G168" i="1" s="1"/>
  <c r="E133" i="1"/>
  <c r="G133" i="1" s="1"/>
  <c r="E447" i="1"/>
  <c r="G447" i="1" s="1"/>
  <c r="E116" i="1"/>
  <c r="G116" i="1" s="1"/>
  <c r="E500" i="1"/>
  <c r="G500" i="1" s="1"/>
  <c r="E490" i="1"/>
  <c r="G490" i="1" s="1"/>
  <c r="E310" i="1"/>
  <c r="G310" i="1" s="1"/>
  <c r="E432" i="1"/>
  <c r="G432" i="1" s="1"/>
  <c r="E301" i="1"/>
  <c r="G301" i="1" s="1"/>
  <c r="E112" i="1"/>
  <c r="G112" i="1" s="1"/>
  <c r="E201" i="1"/>
  <c r="G201" i="1" s="1"/>
  <c r="E415" i="1"/>
  <c r="G415" i="1" s="1"/>
  <c r="E397" i="1"/>
  <c r="G397" i="1" s="1"/>
  <c r="E369" i="1"/>
  <c r="G369" i="1" s="1"/>
  <c r="E271" i="1"/>
  <c r="G271" i="1" s="1"/>
  <c r="E12" i="1"/>
  <c r="G12" i="1" s="1"/>
  <c r="E332" i="1"/>
  <c r="G332" i="1" s="1"/>
  <c r="E361" i="1"/>
  <c r="G361" i="1" s="1"/>
  <c r="E21" i="1"/>
  <c r="G21" i="1" s="1"/>
  <c r="E136" i="1"/>
  <c r="G136" i="1" s="1"/>
  <c r="E35" i="1"/>
  <c r="G35" i="1" s="1"/>
  <c r="E492" i="1"/>
  <c r="G492" i="1" s="1"/>
  <c r="E458" i="1"/>
  <c r="G458" i="1" s="1"/>
  <c r="E372" i="1"/>
  <c r="G372" i="1" s="1"/>
  <c r="E475" i="1"/>
  <c r="G475" i="1" s="1"/>
  <c r="E203" i="1"/>
  <c r="G203" i="1" s="1"/>
  <c r="E73" i="1"/>
  <c r="G73" i="1" s="1"/>
  <c r="E431" i="1"/>
  <c r="G431" i="1" s="1"/>
  <c r="E142" i="1"/>
  <c r="G142" i="1" s="1"/>
  <c r="E192" i="1"/>
  <c r="G192" i="1" s="1"/>
  <c r="E138" i="1"/>
  <c r="G138" i="1" s="1"/>
  <c r="E263" i="1"/>
  <c r="G263" i="1" s="1"/>
  <c r="E52" i="1"/>
  <c r="G52" i="1" s="1"/>
  <c r="E309" i="1"/>
  <c r="G309" i="1" s="1"/>
  <c r="E150" i="1"/>
  <c r="G150" i="1" s="1"/>
  <c r="E393" i="1"/>
  <c r="G393" i="1" s="1"/>
  <c r="E94" i="1"/>
  <c r="G94" i="1" s="1"/>
  <c r="E151" i="1"/>
  <c r="G151" i="1" s="1"/>
  <c r="E44" i="1"/>
  <c r="G44" i="1" s="1"/>
  <c r="E486" i="1"/>
  <c r="G486" i="1" s="1"/>
  <c r="E422" i="1"/>
  <c r="G422" i="1" s="1"/>
  <c r="E403" i="1"/>
  <c r="G403" i="1" s="1"/>
  <c r="E278" i="1"/>
  <c r="G278" i="1" s="1"/>
  <c r="E380" i="1"/>
  <c r="G380" i="1" s="1"/>
  <c r="E389" i="1"/>
  <c r="G389" i="1" s="1"/>
  <c r="E261" i="1"/>
  <c r="G261" i="1" s="1"/>
  <c r="E423" i="1"/>
  <c r="G423" i="1" s="1"/>
  <c r="E374" i="1"/>
  <c r="G374" i="1" s="1"/>
  <c r="E91" i="1"/>
  <c r="G91" i="1" s="1"/>
  <c r="E14" i="1"/>
  <c r="G14" i="1" s="1"/>
  <c r="E100" i="1"/>
  <c r="G100" i="1" s="1"/>
  <c r="E131" i="1"/>
  <c r="G131" i="1" s="1"/>
  <c r="E460" i="1"/>
  <c r="G460" i="1" s="1"/>
  <c r="E298" i="1"/>
  <c r="G298" i="1" s="1"/>
  <c r="E117" i="1"/>
  <c r="G117" i="1" s="1"/>
  <c r="E89" i="1"/>
  <c r="G89" i="1" s="1"/>
  <c r="E9" i="1"/>
  <c r="G9" i="1" s="1"/>
  <c r="E437" i="1"/>
  <c r="G437" i="1" s="1"/>
  <c r="E428" i="1"/>
  <c r="G428" i="1" s="1"/>
  <c r="E118" i="1"/>
  <c r="G118" i="1" s="1"/>
  <c r="E467" i="1"/>
  <c r="G467" i="1" s="1"/>
  <c r="E228" i="1"/>
  <c r="G228" i="1" s="1"/>
  <c r="E464" i="1"/>
  <c r="G464" i="1" s="1"/>
  <c r="E387" i="1"/>
  <c r="G387" i="1" s="1"/>
  <c r="E144" i="1"/>
  <c r="G144" i="1" s="1"/>
  <c r="E259" i="1"/>
  <c r="G259" i="1" s="1"/>
  <c r="E311" i="1"/>
  <c r="G311" i="1" s="1"/>
  <c r="E304" i="1"/>
  <c r="G304" i="1" s="1"/>
  <c r="E125" i="1"/>
  <c r="G125" i="1" s="1"/>
  <c r="E65" i="1"/>
  <c r="G65" i="1" s="1"/>
  <c r="E338" i="1"/>
  <c r="G338" i="1" s="1"/>
  <c r="E482" i="1"/>
  <c r="G482" i="1" s="1"/>
  <c r="E262" i="1"/>
  <c r="G262" i="1" s="1"/>
  <c r="E405" i="1"/>
  <c r="G405" i="1" s="1"/>
  <c r="E95" i="1"/>
  <c r="G95" i="1" s="1"/>
  <c r="E244" i="1"/>
  <c r="G244" i="1" s="1"/>
  <c r="E465" i="1"/>
  <c r="G465" i="1" s="1"/>
  <c r="E7" i="1"/>
  <c r="G7" i="1" s="1"/>
  <c r="E265" i="1"/>
  <c r="G265" i="1" s="1"/>
  <c r="E178" i="1"/>
  <c r="G178" i="1" s="1"/>
  <c r="E222" i="1"/>
  <c r="G222" i="1" s="1"/>
  <c r="E50" i="1"/>
  <c r="G50" i="1" s="1"/>
  <c r="E177" i="1"/>
  <c r="G177" i="1" s="1"/>
  <c r="E22" i="1"/>
  <c r="G22" i="1" s="1"/>
  <c r="E329" i="1"/>
  <c r="G329" i="1" s="1"/>
  <c r="E274" i="1"/>
  <c r="G274" i="1" s="1"/>
  <c r="E253" i="1"/>
  <c r="G253" i="1" s="1"/>
  <c r="E19" i="1"/>
  <c r="G19" i="1" s="1"/>
  <c r="E275" i="1"/>
  <c r="G275" i="1" s="1"/>
  <c r="E440" i="1"/>
  <c r="G440" i="1" s="1"/>
  <c r="E34" i="1"/>
  <c r="G34" i="1" s="1"/>
  <c r="E358" i="1"/>
  <c r="G358" i="1" s="1"/>
  <c r="E180" i="1"/>
  <c r="G180" i="1" s="1"/>
  <c r="E407" i="1"/>
  <c r="G407" i="1" s="1"/>
  <c r="E479" i="1"/>
  <c r="G479" i="1" s="1"/>
  <c r="E105" i="1"/>
  <c r="G105" i="1" s="1"/>
  <c r="E238" i="1"/>
  <c r="G238" i="1" s="1"/>
  <c r="E98" i="1"/>
  <c r="G98" i="1" s="1"/>
  <c r="E40" i="1"/>
  <c r="G40" i="1" s="1"/>
  <c r="E264" i="1"/>
  <c r="G264" i="1" s="1"/>
  <c r="H50" i="1" l="1"/>
  <c r="H65" i="1"/>
  <c r="H437" i="1"/>
  <c r="H261" i="1"/>
  <c r="H309" i="1"/>
  <c r="H492" i="1"/>
  <c r="H112" i="1"/>
  <c r="H106" i="1"/>
  <c r="H317" i="1"/>
  <c r="H362" i="1"/>
  <c r="H286" i="1"/>
  <c r="H243" i="1"/>
  <c r="H356" i="1"/>
  <c r="H187" i="1"/>
  <c r="H161" i="1"/>
  <c r="H433" i="1"/>
  <c r="H33" i="1"/>
  <c r="H3" i="1"/>
  <c r="H64" i="1"/>
  <c r="H225" i="1"/>
  <c r="H93" i="1"/>
  <c r="H71" i="1"/>
  <c r="H276" i="1"/>
  <c r="H363" i="1"/>
  <c r="H296" i="1"/>
  <c r="H498" i="1"/>
  <c r="H220" i="1"/>
  <c r="H115" i="1"/>
  <c r="H156" i="1"/>
  <c r="H179" i="1"/>
  <c r="H357" i="1"/>
  <c r="H74" i="1"/>
  <c r="H313" i="1"/>
  <c r="H109" i="1"/>
  <c r="H378" i="1"/>
  <c r="H140" i="1"/>
  <c r="H27" i="1"/>
  <c r="H430" i="1"/>
  <c r="H388" i="1"/>
  <c r="H412" i="1"/>
  <c r="H325" i="1"/>
  <c r="H181" i="1"/>
  <c r="H370" i="1"/>
  <c r="H13" i="1"/>
  <c r="H214" i="1"/>
  <c r="H28" i="1"/>
  <c r="H40" i="1"/>
  <c r="H95" i="1"/>
  <c r="H447" i="1"/>
  <c r="H355" i="1"/>
  <c r="H494" i="1"/>
  <c r="H137" i="1"/>
  <c r="H53" i="1"/>
  <c r="H280" i="1"/>
  <c r="H228" i="1"/>
  <c r="H151" i="1"/>
  <c r="H459" i="1"/>
  <c r="H385" i="1"/>
  <c r="H212" i="1"/>
  <c r="H262" i="1"/>
  <c r="H94" i="1"/>
  <c r="H168" i="1"/>
  <c r="H69" i="1"/>
  <c r="H197" i="1"/>
  <c r="H171" i="1"/>
  <c r="H159" i="1"/>
  <c r="H406" i="1"/>
  <c r="H236" i="1"/>
  <c r="H337" i="1"/>
  <c r="H213" i="1"/>
  <c r="H47" i="1"/>
  <c r="H149" i="1"/>
  <c r="H31" i="1"/>
  <c r="H25" i="1"/>
  <c r="H268" i="1"/>
  <c r="H402" i="1"/>
  <c r="H458" i="1"/>
  <c r="H364" i="1"/>
  <c r="H249" i="1"/>
  <c r="H257" i="1"/>
  <c r="H105" i="1"/>
  <c r="H22" i="1"/>
  <c r="H118" i="1"/>
  <c r="H415" i="1"/>
  <c r="H17" i="1"/>
  <c r="H163" i="1"/>
  <c r="H371" i="1"/>
  <c r="H210" i="1"/>
  <c r="H413" i="1"/>
  <c r="H15" i="1"/>
  <c r="H147" i="1"/>
  <c r="H48" i="1"/>
  <c r="H444" i="1"/>
  <c r="H392" i="1"/>
  <c r="H306" i="1"/>
  <c r="H154" i="1"/>
  <c r="H345" i="1"/>
  <c r="H482" i="1"/>
  <c r="H393" i="1"/>
  <c r="H372" i="1"/>
  <c r="H6" i="1"/>
  <c r="H384" i="1"/>
  <c r="H226" i="1"/>
  <c r="H501" i="1"/>
  <c r="H248" i="1"/>
  <c r="H316" i="1"/>
  <c r="H428" i="1"/>
  <c r="H423" i="1"/>
  <c r="H150" i="1"/>
  <c r="H245" i="1"/>
  <c r="H5" i="1"/>
  <c r="H80" i="1"/>
  <c r="H152" i="1"/>
  <c r="H38" i="1"/>
  <c r="H82" i="1"/>
  <c r="H101" i="1"/>
  <c r="H211" i="1"/>
  <c r="H312" i="1"/>
  <c r="H196" i="1"/>
  <c r="H495" i="1"/>
  <c r="H254" i="1"/>
  <c r="H61" i="1"/>
  <c r="H299" i="1"/>
  <c r="H63" i="1"/>
  <c r="H435" i="1"/>
  <c r="H407" i="1"/>
  <c r="H157" i="1"/>
  <c r="H315" i="1"/>
  <c r="H358" i="1"/>
  <c r="H178" i="1"/>
  <c r="H304" i="1"/>
  <c r="H89" i="1"/>
  <c r="H380" i="1"/>
  <c r="H263" i="1"/>
  <c r="H136" i="1"/>
  <c r="H432" i="1"/>
  <c r="H190" i="1"/>
  <c r="H470" i="1"/>
  <c r="H491" i="1"/>
  <c r="H113" i="1"/>
  <c r="H400" i="1"/>
  <c r="H18" i="1"/>
  <c r="H367" i="1"/>
  <c r="H297" i="1"/>
  <c r="H111" i="1"/>
  <c r="H67" i="1"/>
  <c r="H36" i="1"/>
  <c r="H404" i="1"/>
  <c r="H175" i="1"/>
  <c r="H206" i="1"/>
  <c r="H215" i="1"/>
  <c r="H399" i="1"/>
  <c r="H57" i="1"/>
  <c r="H4" i="1"/>
  <c r="H223" i="1"/>
  <c r="H300" i="1"/>
  <c r="H83" i="1"/>
  <c r="H81" i="1"/>
  <c r="H234" i="1"/>
  <c r="H10" i="1"/>
  <c r="H86" i="1"/>
  <c r="H318" i="1"/>
  <c r="H235" i="1"/>
  <c r="H282" i="1"/>
  <c r="H466" i="1"/>
  <c r="H324" i="1"/>
  <c r="H39" i="1"/>
  <c r="H473" i="1"/>
  <c r="H302" i="1"/>
  <c r="H283" i="1"/>
  <c r="H451" i="1"/>
  <c r="H449" i="1"/>
  <c r="H266" i="1"/>
  <c r="H419" i="1"/>
  <c r="H227" i="1"/>
  <c r="H487" i="1"/>
  <c r="H11" i="1"/>
  <c r="H34" i="1"/>
  <c r="H288" i="1"/>
  <c r="H185" i="1"/>
  <c r="H483" i="1"/>
  <c r="H9" i="1"/>
  <c r="H35" i="1"/>
  <c r="H46" i="1"/>
  <c r="H279" i="1"/>
  <c r="H277" i="1"/>
  <c r="H272" i="1"/>
  <c r="H418" i="1"/>
  <c r="H442" i="1"/>
  <c r="H244" i="1"/>
  <c r="H486" i="1"/>
  <c r="H233" i="1"/>
  <c r="H239" i="1"/>
  <c r="H386" i="1"/>
  <c r="H102" i="1"/>
  <c r="H92" i="1"/>
  <c r="H320" i="1"/>
  <c r="H381" i="1"/>
  <c r="H191" i="1"/>
  <c r="H314" i="1"/>
  <c r="H165" i="1"/>
  <c r="H351" i="1"/>
  <c r="H475" i="1"/>
  <c r="H237" i="1"/>
  <c r="H8" i="1"/>
  <c r="H321" i="1"/>
  <c r="H174" i="1"/>
  <c r="H264" i="1"/>
  <c r="H19" i="1"/>
  <c r="H387" i="1"/>
  <c r="H131" i="1"/>
  <c r="H431" i="1"/>
  <c r="H116" i="1"/>
  <c r="H471" i="1"/>
  <c r="H346" i="1"/>
  <c r="H353" i="1"/>
  <c r="H127" i="1"/>
  <c r="H382" i="1"/>
  <c r="H379" i="1"/>
  <c r="H333" i="1"/>
  <c r="H463" i="1"/>
  <c r="H461" i="1"/>
  <c r="H62" i="1"/>
  <c r="H396" i="1"/>
  <c r="H162" i="1"/>
  <c r="H339" i="1"/>
  <c r="H250" i="1"/>
  <c r="H477" i="1"/>
  <c r="H51" i="1"/>
  <c r="H182" i="1"/>
  <c r="H87" i="1"/>
  <c r="H98" i="1"/>
  <c r="H405" i="1"/>
  <c r="H221" i="1"/>
  <c r="H107" i="1"/>
  <c r="H170" i="1"/>
  <c r="H397" i="1"/>
  <c r="H76" i="1"/>
  <c r="H417" i="1"/>
  <c r="H294" i="1"/>
  <c r="H204" i="1"/>
  <c r="H287" i="1"/>
  <c r="H258" i="1"/>
  <c r="H155" i="1"/>
  <c r="H375" i="1"/>
  <c r="H352" i="1"/>
  <c r="H338" i="1"/>
  <c r="H121" i="1"/>
  <c r="H496" i="1"/>
  <c r="H72" i="1"/>
  <c r="H291" i="1"/>
  <c r="H427" i="1"/>
  <c r="H256" i="1"/>
  <c r="H12" i="1"/>
  <c r="H217" i="1"/>
  <c r="H480" i="1"/>
  <c r="H253" i="1"/>
  <c r="H464" i="1"/>
  <c r="H100" i="1"/>
  <c r="H44" i="1"/>
  <c r="H73" i="1"/>
  <c r="H271" i="1"/>
  <c r="H37" i="1"/>
  <c r="H462" i="1"/>
  <c r="H195" i="1"/>
  <c r="H23" i="1"/>
  <c r="H26" i="1"/>
  <c r="H70" i="1"/>
  <c r="H267" i="1"/>
  <c r="H240" i="1"/>
  <c r="H42" i="1"/>
  <c r="H32" i="1"/>
  <c r="H438" i="1"/>
  <c r="H281" i="1"/>
  <c r="H176" i="1"/>
  <c r="H198" i="1"/>
  <c r="H183" i="1"/>
  <c r="H350" i="1"/>
  <c r="H123" i="1"/>
  <c r="H143" i="1"/>
  <c r="H41" i="1"/>
  <c r="H218" i="1"/>
  <c r="H60" i="1"/>
  <c r="H29" i="1"/>
  <c r="H443" i="1"/>
  <c r="H469" i="1"/>
  <c r="H274" i="1"/>
  <c r="H457" i="1"/>
  <c r="H246" i="1"/>
  <c r="H295" i="1"/>
  <c r="H180" i="1"/>
  <c r="H222" i="1"/>
  <c r="H125" i="1"/>
  <c r="H389" i="1"/>
  <c r="H52" i="1"/>
  <c r="H301" i="1"/>
  <c r="H411" i="1"/>
  <c r="H434" i="1"/>
  <c r="H472" i="1"/>
  <c r="H79" i="1"/>
  <c r="H247" i="1"/>
  <c r="H328" i="1"/>
  <c r="H122" i="1"/>
  <c r="H270" i="1"/>
  <c r="H395" i="1"/>
  <c r="H20" i="1"/>
  <c r="H96" i="1"/>
  <c r="H146" i="1"/>
  <c r="H305" i="1"/>
  <c r="H445" i="1"/>
  <c r="H343" i="1"/>
  <c r="H124" i="1"/>
  <c r="H119" i="1"/>
  <c r="H448" i="1"/>
  <c r="H199" i="1"/>
  <c r="H78" i="1"/>
  <c r="H394" i="1"/>
  <c r="H55" i="1"/>
  <c r="H205" i="1"/>
  <c r="H141" i="1"/>
  <c r="H84" i="1"/>
  <c r="H265" i="1"/>
  <c r="H311" i="1"/>
  <c r="H117" i="1"/>
  <c r="H278" i="1"/>
  <c r="H138" i="1"/>
  <c r="H21" i="1"/>
  <c r="H310" i="1"/>
  <c r="H488" i="1"/>
  <c r="H424" i="1"/>
  <c r="H292" i="1"/>
  <c r="H110" i="1"/>
  <c r="H493" i="1"/>
  <c r="H255" i="1"/>
  <c r="H54" i="1"/>
  <c r="H468" i="1"/>
  <c r="H97" i="1"/>
  <c r="H202" i="1"/>
  <c r="H323" i="1"/>
  <c r="H454" i="1"/>
  <c r="H398" i="1"/>
  <c r="H189" i="1"/>
  <c r="H200" i="1"/>
  <c r="H341" i="1"/>
  <c r="H59" i="1"/>
  <c r="H75" i="1"/>
  <c r="H129" i="1"/>
  <c r="H30" i="1"/>
  <c r="H45" i="1"/>
  <c r="H416" i="1"/>
  <c r="H186" i="1"/>
  <c r="H108" i="1"/>
  <c r="H252" i="1"/>
  <c r="H148" i="1"/>
  <c r="H327" i="1"/>
  <c r="H446" i="1"/>
  <c r="H440" i="1"/>
  <c r="H7" i="1"/>
  <c r="H259" i="1"/>
  <c r="H298" i="1"/>
  <c r="H403" i="1"/>
  <c r="H192" i="1"/>
  <c r="H361" i="1"/>
  <c r="H490" i="1"/>
  <c r="H330" i="1"/>
  <c r="H58" i="1"/>
  <c r="H499" i="1"/>
  <c r="H425" i="1"/>
  <c r="H373" i="1"/>
  <c r="H484" i="1"/>
  <c r="H365" i="1"/>
  <c r="H169" i="1"/>
  <c r="H344" i="1"/>
  <c r="H429" i="1"/>
  <c r="H336" i="1"/>
  <c r="H474" i="1"/>
  <c r="H139" i="1"/>
  <c r="H77" i="1"/>
  <c r="H390" i="1"/>
  <c r="H342" i="1"/>
  <c r="H260" i="1"/>
  <c r="H90" i="1"/>
  <c r="H49" i="1"/>
  <c r="H160" i="1"/>
  <c r="H290" i="1"/>
  <c r="H334" i="1"/>
  <c r="H208" i="1"/>
  <c r="H456" i="1"/>
  <c r="H188" i="1"/>
  <c r="H319" i="1"/>
  <c r="H307" i="1"/>
  <c r="H132" i="1"/>
  <c r="H130" i="1"/>
  <c r="H99" i="1"/>
  <c r="H452" i="1"/>
  <c r="H478" i="1"/>
  <c r="H104" i="1"/>
  <c r="H14" i="1"/>
  <c r="H203" i="1"/>
  <c r="H369" i="1"/>
  <c r="H133" i="1"/>
  <c r="H348" i="1"/>
  <c r="H114" i="1"/>
  <c r="H269" i="1"/>
  <c r="H420" i="1"/>
  <c r="H56" i="1"/>
  <c r="H230" i="1"/>
  <c r="H293" i="1"/>
  <c r="H354" i="1"/>
  <c r="H450" i="1"/>
  <c r="H135" i="1"/>
  <c r="H242" i="1"/>
  <c r="H158" i="1"/>
  <c r="H347" i="1"/>
  <c r="H120" i="1"/>
  <c r="H238" i="1"/>
  <c r="H329" i="1"/>
  <c r="H467" i="1"/>
  <c r="H91" i="1"/>
  <c r="H366" i="1"/>
  <c r="H326" i="1"/>
  <c r="H232" i="1"/>
  <c r="H408" i="1"/>
  <c r="H368" i="1"/>
  <c r="H421" i="1"/>
  <c r="H85" i="1"/>
  <c r="H207" i="1"/>
  <c r="H360" i="1"/>
  <c r="H173" i="1"/>
  <c r="H401" i="1"/>
  <c r="H145" i="1"/>
  <c r="H194" i="1"/>
  <c r="H414" i="1"/>
  <c r="H16" i="1"/>
  <c r="H374" i="1"/>
  <c r="H166" i="1"/>
  <c r="H224" i="1"/>
  <c r="H167" i="1"/>
  <c r="H441" i="1"/>
  <c r="H68" i="1"/>
  <c r="H377" i="1"/>
  <c r="H439" i="1"/>
  <c r="H88" i="1"/>
  <c r="H479" i="1"/>
  <c r="H177" i="1"/>
  <c r="H201" i="1"/>
  <c r="H489" i="1"/>
  <c r="H66" i="1"/>
  <c r="H126" i="1"/>
  <c r="H331" i="1"/>
  <c r="H383" i="1"/>
  <c r="H436" i="1"/>
  <c r="H340" i="1"/>
  <c r="H335" i="1"/>
  <c r="H349" i="1"/>
  <c r="H455" i="1"/>
  <c r="H481" i="1"/>
  <c r="H103" i="1"/>
  <c r="H2" i="1"/>
  <c r="H275" i="1"/>
  <c r="H465" i="1"/>
  <c r="H144" i="1"/>
  <c r="H460" i="1"/>
  <c r="H422" i="1"/>
  <c r="H142" i="1"/>
  <c r="H332" i="1"/>
  <c r="H500" i="1"/>
  <c r="H391" i="1"/>
  <c r="H453" i="1"/>
  <c r="H128" i="1"/>
  <c r="H303" i="1"/>
  <c r="H409" i="1"/>
  <c r="H359" i="1"/>
  <c r="H476" i="1"/>
  <c r="H485" i="1"/>
  <c r="H289" i="1"/>
  <c r="H426" i="1"/>
  <c r="H229" i="1"/>
  <c r="H273" i="1"/>
  <c r="H134" i="1"/>
  <c r="H209" i="1"/>
  <c r="H284" i="1"/>
  <c r="H43" i="1"/>
  <c r="H322" i="1"/>
  <c r="H231" i="1"/>
  <c r="H219" i="1"/>
  <c r="H410" i="1"/>
  <c r="H376" i="1"/>
  <c r="H193" i="1"/>
  <c r="H216" i="1"/>
  <c r="H24" i="1"/>
  <c r="H164" i="1"/>
  <c r="H251" i="1"/>
  <c r="H153" i="1"/>
  <c r="H241" i="1"/>
  <c r="H285" i="1"/>
  <c r="H497" i="1"/>
  <c r="H172" i="1"/>
  <c r="H184" i="1"/>
  <c r="H308" i="1"/>
  <c r="K391" i="1" l="1"/>
  <c r="K194" i="1"/>
  <c r="K478" i="1"/>
  <c r="K169" i="1"/>
  <c r="K468" i="1"/>
  <c r="K124" i="1"/>
  <c r="K198" i="1"/>
  <c r="K462" i="1"/>
  <c r="K477" i="1"/>
  <c r="K233" i="1"/>
  <c r="K473" i="1"/>
  <c r="K89" i="1"/>
  <c r="K423" i="1"/>
  <c r="K415" i="1"/>
  <c r="K262" i="1"/>
  <c r="K243" i="1"/>
  <c r="K24" i="1"/>
  <c r="K349" i="1"/>
  <c r="K88" i="1"/>
  <c r="K91" i="1"/>
  <c r="K230" i="1"/>
  <c r="K49" i="1"/>
  <c r="K129" i="1"/>
  <c r="K343" i="1"/>
  <c r="K176" i="1"/>
  <c r="K417" i="1"/>
  <c r="K346" i="1"/>
  <c r="K39" i="1"/>
  <c r="K196" i="1"/>
  <c r="K118" i="1"/>
  <c r="K40" i="1"/>
  <c r="K286" i="1"/>
  <c r="K216" i="1"/>
  <c r="K332" i="1"/>
  <c r="K439" i="1"/>
  <c r="K56" i="1"/>
  <c r="K90" i="1"/>
  <c r="K75" i="1"/>
  <c r="K445" i="1"/>
  <c r="K469" i="1"/>
  <c r="K72" i="1"/>
  <c r="K471" i="1"/>
  <c r="K34" i="1"/>
  <c r="K312" i="1"/>
  <c r="K71" i="1"/>
  <c r="K193" i="1"/>
  <c r="K142" i="1"/>
  <c r="K340" i="1"/>
  <c r="K173" i="1"/>
  <c r="K329" i="1"/>
  <c r="K130" i="1"/>
  <c r="K373" i="1"/>
  <c r="K440" i="1"/>
  <c r="K493" i="1"/>
  <c r="K84" i="1"/>
  <c r="K411" i="1"/>
  <c r="K438" i="1"/>
  <c r="K73" i="1"/>
  <c r="K397" i="1"/>
  <c r="K162" i="1"/>
  <c r="K116" i="1"/>
  <c r="K11" i="1"/>
  <c r="K466" i="1"/>
  <c r="K57" i="1"/>
  <c r="K400" i="1"/>
  <c r="K248" i="1"/>
  <c r="K444" i="1"/>
  <c r="K105" i="1"/>
  <c r="K337" i="1"/>
  <c r="K459" i="1"/>
  <c r="K214" i="1"/>
  <c r="K317" i="1"/>
  <c r="K376" i="1"/>
  <c r="K436" i="1"/>
  <c r="K238" i="1"/>
  <c r="K132" i="1"/>
  <c r="K446" i="1"/>
  <c r="K110" i="1"/>
  <c r="K146" i="1"/>
  <c r="K32" i="1"/>
  <c r="K170" i="1"/>
  <c r="K418" i="1"/>
  <c r="K315" i="1"/>
  <c r="K225" i="1"/>
  <c r="K207" i="1"/>
  <c r="K499" i="1"/>
  <c r="K205" i="1"/>
  <c r="K100" i="1"/>
  <c r="K131" i="1"/>
  <c r="K235" i="1"/>
  <c r="K157" i="1"/>
  <c r="K406" i="1"/>
  <c r="K112" i="1"/>
  <c r="K172" i="1"/>
  <c r="K476" i="1"/>
  <c r="K144" i="1"/>
  <c r="K331" i="1"/>
  <c r="K85" i="1"/>
  <c r="K319" i="1"/>
  <c r="K77" i="1"/>
  <c r="K148" i="1"/>
  <c r="K189" i="1"/>
  <c r="K55" i="1"/>
  <c r="K389" i="1"/>
  <c r="K240" i="1"/>
  <c r="K352" i="1"/>
  <c r="K387" i="1"/>
  <c r="K277" i="1"/>
  <c r="K318" i="1"/>
  <c r="K206" i="1"/>
  <c r="K38" i="1"/>
  <c r="K15" i="1"/>
  <c r="K159" i="1"/>
  <c r="K3" i="1"/>
  <c r="K497" i="1"/>
  <c r="K465" i="1"/>
  <c r="K421" i="1"/>
  <c r="K139" i="1"/>
  <c r="K488" i="1"/>
  <c r="K395" i="1"/>
  <c r="K267" i="1"/>
  <c r="K375" i="1"/>
  <c r="K19" i="1"/>
  <c r="K320" i="1"/>
  <c r="K86" i="1"/>
  <c r="K190" i="1"/>
  <c r="K6" i="1"/>
  <c r="K458" i="1"/>
  <c r="K325" i="1"/>
  <c r="K33" i="1"/>
  <c r="K285" i="1"/>
  <c r="K275" i="1"/>
  <c r="K166" i="1"/>
  <c r="K369" i="1"/>
  <c r="K454" i="1"/>
  <c r="K270" i="1"/>
  <c r="K70" i="1"/>
  <c r="K155" i="1"/>
  <c r="K264" i="1"/>
  <c r="K92" i="1"/>
  <c r="K449" i="1"/>
  <c r="K404" i="1"/>
  <c r="K432" i="1"/>
  <c r="K372" i="1"/>
  <c r="K197" i="1"/>
  <c r="K261" i="1"/>
  <c r="K241" i="1"/>
  <c r="K43" i="1"/>
  <c r="K303" i="1"/>
  <c r="K2" i="1"/>
  <c r="K489" i="1"/>
  <c r="K374" i="1"/>
  <c r="K408" i="1"/>
  <c r="K135" i="1"/>
  <c r="K203" i="1"/>
  <c r="K208" i="1"/>
  <c r="K336" i="1"/>
  <c r="K361" i="1"/>
  <c r="K186" i="1"/>
  <c r="K323" i="1"/>
  <c r="K21" i="1"/>
  <c r="K199" i="1"/>
  <c r="K122" i="1"/>
  <c r="K180" i="1"/>
  <c r="K123" i="1"/>
  <c r="K26" i="1"/>
  <c r="K217" i="1"/>
  <c r="K258" i="1"/>
  <c r="K87" i="1"/>
  <c r="K379" i="1"/>
  <c r="K174" i="1"/>
  <c r="K102" i="1"/>
  <c r="K35" i="1"/>
  <c r="K451" i="1"/>
  <c r="K234" i="1"/>
  <c r="K36" i="1"/>
  <c r="K136" i="1"/>
  <c r="K299" i="1"/>
  <c r="K5" i="1"/>
  <c r="K393" i="1"/>
  <c r="K371" i="1"/>
  <c r="K268" i="1"/>
  <c r="K69" i="1"/>
  <c r="K494" i="1"/>
  <c r="K388" i="1"/>
  <c r="K220" i="1"/>
  <c r="K161" i="1"/>
  <c r="K437" i="1"/>
  <c r="K164" i="1"/>
  <c r="K366" i="1"/>
  <c r="K298" i="1"/>
  <c r="K457" i="1"/>
  <c r="K353" i="1"/>
  <c r="K297" i="1"/>
  <c r="K140" i="1"/>
  <c r="K273" i="1"/>
  <c r="K365" i="1"/>
  <c r="K472" i="1"/>
  <c r="K291" i="1"/>
  <c r="K288" i="1"/>
  <c r="K428" i="1"/>
  <c r="K47" i="1"/>
  <c r="K378" i="1"/>
  <c r="K467" i="1"/>
  <c r="K255" i="1"/>
  <c r="K271" i="1"/>
  <c r="K4" i="1"/>
  <c r="K109" i="1"/>
  <c r="K260" i="1"/>
  <c r="K443" i="1"/>
  <c r="K165" i="1"/>
  <c r="K211" i="1"/>
  <c r="K313" i="1"/>
  <c r="K289" i="1"/>
  <c r="K342" i="1"/>
  <c r="K301" i="1"/>
  <c r="K431" i="1"/>
  <c r="K113" i="1"/>
  <c r="K74" i="1"/>
  <c r="K184" i="1"/>
  <c r="K307" i="1"/>
  <c r="K60" i="1"/>
  <c r="K272" i="1"/>
  <c r="K226" i="1"/>
  <c r="K357" i="1"/>
  <c r="K347" i="1"/>
  <c r="K20" i="1"/>
  <c r="K461" i="1"/>
  <c r="K470" i="1"/>
  <c r="K179" i="1"/>
  <c r="K359" i="1"/>
  <c r="K133" i="1"/>
  <c r="K252" i="1"/>
  <c r="K125" i="1"/>
  <c r="K405" i="1"/>
  <c r="K266" i="1"/>
  <c r="K152" i="1"/>
  <c r="K171" i="1"/>
  <c r="K156" i="1"/>
  <c r="K409" i="1"/>
  <c r="K368" i="1"/>
  <c r="K242" i="1"/>
  <c r="K474" i="1"/>
  <c r="K490" i="1"/>
  <c r="K108" i="1"/>
  <c r="K78" i="1"/>
  <c r="K143" i="1"/>
  <c r="K98" i="1"/>
  <c r="K46" i="1"/>
  <c r="K63" i="1"/>
  <c r="K210" i="1"/>
  <c r="K137" i="1"/>
  <c r="K412" i="1"/>
  <c r="K115" i="1"/>
  <c r="K153" i="1"/>
  <c r="K16" i="1"/>
  <c r="K14" i="1"/>
  <c r="K429" i="1"/>
  <c r="K416" i="1"/>
  <c r="K138" i="1"/>
  <c r="K328" i="1"/>
  <c r="K295" i="1"/>
  <c r="K350" i="1"/>
  <c r="K23" i="1"/>
  <c r="K12" i="1"/>
  <c r="K182" i="1"/>
  <c r="K382" i="1"/>
  <c r="K321" i="1"/>
  <c r="K386" i="1"/>
  <c r="K9" i="1"/>
  <c r="K283" i="1"/>
  <c r="K81" i="1"/>
  <c r="K67" i="1"/>
  <c r="K263" i="1"/>
  <c r="K61" i="1"/>
  <c r="K245" i="1"/>
  <c r="K482" i="1"/>
  <c r="K163" i="1"/>
  <c r="K25" i="1"/>
  <c r="K168" i="1"/>
  <c r="K355" i="1"/>
  <c r="K430" i="1"/>
  <c r="K498" i="1"/>
  <c r="K187" i="1"/>
  <c r="K65" i="1"/>
  <c r="K134" i="1"/>
  <c r="K455" i="1"/>
  <c r="K479" i="1"/>
  <c r="K293" i="1"/>
  <c r="K160" i="1"/>
  <c r="K30" i="1"/>
  <c r="K117" i="1"/>
  <c r="K79" i="1"/>
  <c r="K427" i="1"/>
  <c r="K294" i="1"/>
  <c r="K237" i="1"/>
  <c r="K185" i="1"/>
  <c r="K300" i="1"/>
  <c r="K495" i="1"/>
  <c r="K154" i="1"/>
  <c r="K149" i="1"/>
  <c r="K95" i="1"/>
  <c r="K363" i="1"/>
  <c r="K500" i="1"/>
  <c r="K145" i="1"/>
  <c r="K452" i="1"/>
  <c r="K259" i="1"/>
  <c r="K54" i="1"/>
  <c r="K311" i="1"/>
  <c r="K274" i="1"/>
  <c r="K37" i="1"/>
  <c r="K250" i="1"/>
  <c r="K475" i="1"/>
  <c r="K486" i="1"/>
  <c r="K223" i="1"/>
  <c r="K367" i="1"/>
  <c r="K304" i="1"/>
  <c r="K306" i="1"/>
  <c r="K212" i="1"/>
  <c r="K276" i="1"/>
  <c r="K229" i="1"/>
  <c r="K335" i="1"/>
  <c r="K401" i="1"/>
  <c r="K99" i="1"/>
  <c r="K484" i="1"/>
  <c r="K7" i="1"/>
  <c r="K265" i="1"/>
  <c r="K434" i="1"/>
  <c r="K281" i="1"/>
  <c r="K76" i="1"/>
  <c r="K339" i="1"/>
  <c r="K351" i="1"/>
  <c r="K244" i="1"/>
  <c r="K324" i="1"/>
  <c r="K18" i="1"/>
  <c r="K178" i="1"/>
  <c r="K316" i="1"/>
  <c r="K392" i="1"/>
  <c r="K22" i="1"/>
  <c r="K213" i="1"/>
  <c r="K385" i="1"/>
  <c r="K28" i="1"/>
  <c r="K362" i="1"/>
  <c r="K426" i="1"/>
  <c r="K377" i="1"/>
  <c r="K420" i="1"/>
  <c r="K59" i="1"/>
  <c r="K305" i="1"/>
  <c r="K496" i="1"/>
  <c r="K442" i="1"/>
  <c r="K358" i="1"/>
  <c r="K93" i="1"/>
  <c r="K308" i="1"/>
  <c r="K422" i="1"/>
  <c r="K68" i="1"/>
  <c r="K360" i="1"/>
  <c r="K269" i="1"/>
  <c r="K425" i="1"/>
  <c r="K341" i="1"/>
  <c r="K141" i="1"/>
  <c r="K29" i="1"/>
  <c r="K44" i="1"/>
  <c r="K121" i="1"/>
  <c r="K396" i="1"/>
  <c r="K314" i="1"/>
  <c r="K487" i="1"/>
  <c r="K282" i="1"/>
  <c r="K399" i="1"/>
  <c r="K101" i="1"/>
  <c r="K501" i="1"/>
  <c r="K48" i="1"/>
  <c r="K257" i="1"/>
  <c r="K236" i="1"/>
  <c r="K151" i="1"/>
  <c r="K13" i="1"/>
  <c r="K106" i="1"/>
  <c r="K410" i="1"/>
  <c r="K485" i="1"/>
  <c r="K460" i="1"/>
  <c r="K383" i="1"/>
  <c r="K441" i="1"/>
  <c r="K120" i="1"/>
  <c r="K114" i="1"/>
  <c r="K390" i="1"/>
  <c r="K327" i="1"/>
  <c r="K200" i="1"/>
  <c r="K292" i="1"/>
  <c r="K96" i="1"/>
  <c r="K52" i="1"/>
  <c r="K42" i="1"/>
  <c r="K338" i="1"/>
  <c r="K107" i="1"/>
  <c r="K62" i="1"/>
  <c r="K191" i="1"/>
  <c r="K227" i="1"/>
  <c r="K215" i="1"/>
  <c r="K491" i="1"/>
  <c r="K82" i="1"/>
  <c r="K147" i="1"/>
  <c r="K249" i="1"/>
  <c r="K228" i="1"/>
  <c r="K370" i="1"/>
  <c r="K64" i="1"/>
  <c r="K219" i="1"/>
  <c r="K167" i="1"/>
  <c r="K348" i="1"/>
  <c r="K58" i="1"/>
  <c r="K424" i="1"/>
  <c r="K218" i="1"/>
  <c r="K464" i="1"/>
  <c r="K221" i="1"/>
  <c r="K381" i="1"/>
  <c r="K419" i="1"/>
  <c r="K407" i="1"/>
  <c r="K384" i="1"/>
  <c r="K364" i="1"/>
  <c r="K280" i="1"/>
  <c r="K181" i="1"/>
  <c r="K492" i="1"/>
  <c r="K231" i="1"/>
  <c r="K126" i="1"/>
  <c r="K224" i="1"/>
  <c r="K158" i="1"/>
  <c r="K188" i="1"/>
  <c r="K330" i="1"/>
  <c r="K398" i="1"/>
  <c r="K394" i="1"/>
  <c r="K41" i="1"/>
  <c r="K253" i="1"/>
  <c r="K463" i="1"/>
  <c r="K279" i="1"/>
  <c r="K175" i="1"/>
  <c r="K435" i="1"/>
  <c r="K413" i="1"/>
  <c r="K53" i="1"/>
  <c r="K309" i="1"/>
  <c r="K322" i="1"/>
  <c r="K66" i="1"/>
  <c r="K456" i="1"/>
  <c r="K310" i="1"/>
  <c r="K222" i="1"/>
  <c r="K480" i="1"/>
  <c r="K333" i="1"/>
  <c r="K10" i="1"/>
  <c r="K80" i="1"/>
  <c r="K402" i="1"/>
  <c r="K433" i="1"/>
  <c r="K284" i="1"/>
  <c r="K128" i="1"/>
  <c r="K103" i="1"/>
  <c r="K201" i="1"/>
  <c r="K232" i="1"/>
  <c r="K450" i="1"/>
  <c r="K334" i="1"/>
  <c r="K192" i="1"/>
  <c r="K202" i="1"/>
  <c r="K448" i="1"/>
  <c r="K287" i="1"/>
  <c r="K251" i="1"/>
  <c r="K209" i="1"/>
  <c r="K453" i="1"/>
  <c r="K481" i="1"/>
  <c r="K177" i="1"/>
  <c r="K414" i="1"/>
  <c r="K326" i="1"/>
  <c r="K354" i="1"/>
  <c r="K104" i="1"/>
  <c r="K290" i="1"/>
  <c r="K344" i="1"/>
  <c r="K403" i="1"/>
  <c r="K45" i="1"/>
  <c r="K97" i="1"/>
  <c r="K278" i="1"/>
  <c r="K119" i="1"/>
  <c r="K247" i="1"/>
  <c r="K246" i="1"/>
  <c r="K183" i="1"/>
  <c r="K195" i="1"/>
  <c r="K256" i="1"/>
  <c r="K204" i="1"/>
  <c r="K51" i="1"/>
  <c r="K127" i="1"/>
  <c r="K8" i="1"/>
  <c r="K239" i="1"/>
  <c r="K483" i="1"/>
  <c r="K302" i="1"/>
  <c r="K83" i="1"/>
  <c r="K111" i="1"/>
  <c r="K380" i="1"/>
  <c r="K254" i="1"/>
  <c r="K150" i="1"/>
  <c r="K345" i="1"/>
  <c r="K17" i="1"/>
  <c r="K31" i="1"/>
  <c r="K94" i="1"/>
  <c r="K447" i="1"/>
  <c r="K27" i="1"/>
  <c r="K296" i="1"/>
  <c r="K356" i="1"/>
  <c r="K50" i="1"/>
  <c r="I285" i="1"/>
  <c r="J285" i="1"/>
  <c r="I322" i="1"/>
  <c r="J322" i="1"/>
  <c r="I409" i="1"/>
  <c r="J409" i="1"/>
  <c r="I275" i="1"/>
  <c r="J275" i="1"/>
  <c r="I66" i="1"/>
  <c r="J66" i="1"/>
  <c r="I166" i="1"/>
  <c r="J166" i="1"/>
  <c r="I368" i="1"/>
  <c r="J368" i="1"/>
  <c r="I242" i="1"/>
  <c r="J242" i="1"/>
  <c r="I369" i="1"/>
  <c r="J369" i="1"/>
  <c r="I456" i="1"/>
  <c r="J456" i="1"/>
  <c r="I474" i="1"/>
  <c r="J474" i="1"/>
  <c r="I490" i="1"/>
  <c r="J490" i="1"/>
  <c r="I108" i="1"/>
  <c r="J108" i="1"/>
  <c r="I454" i="1"/>
  <c r="J454" i="1"/>
  <c r="I310" i="1"/>
  <c r="J310" i="1"/>
  <c r="I78" i="1"/>
  <c r="J78" i="1"/>
  <c r="I270" i="1"/>
  <c r="J270" i="1"/>
  <c r="I222" i="1"/>
  <c r="J222" i="1"/>
  <c r="I143" i="1"/>
  <c r="J143" i="1"/>
  <c r="I70" i="1"/>
  <c r="J70" i="1"/>
  <c r="I480" i="1"/>
  <c r="J480" i="1"/>
  <c r="I155" i="1"/>
  <c r="J155" i="1"/>
  <c r="I98" i="1"/>
  <c r="J98" i="1"/>
  <c r="I333" i="1"/>
  <c r="J333" i="1"/>
  <c r="I264" i="1"/>
  <c r="J264" i="1"/>
  <c r="I92" i="1"/>
  <c r="J92" i="1"/>
  <c r="I46" i="1"/>
  <c r="J46" i="1"/>
  <c r="I449" i="1"/>
  <c r="J449" i="1"/>
  <c r="I10" i="1"/>
  <c r="J10" i="1"/>
  <c r="I404" i="1"/>
  <c r="J404" i="1"/>
  <c r="I432" i="1"/>
  <c r="J432" i="1"/>
  <c r="I63" i="1"/>
  <c r="J63" i="1"/>
  <c r="I80" i="1"/>
  <c r="J80" i="1"/>
  <c r="I372" i="1"/>
  <c r="J372" i="1"/>
  <c r="I210" i="1"/>
  <c r="J210" i="1"/>
  <c r="I402" i="1"/>
  <c r="J402" i="1"/>
  <c r="I197" i="1"/>
  <c r="J197" i="1"/>
  <c r="I137" i="1"/>
  <c r="J137" i="1"/>
  <c r="I412" i="1"/>
  <c r="J412" i="1"/>
  <c r="I115" i="1"/>
  <c r="J115" i="1"/>
  <c r="I433" i="1"/>
  <c r="J433" i="1"/>
  <c r="I261" i="1"/>
  <c r="J261" i="1"/>
  <c r="I241" i="1"/>
  <c r="J241" i="1"/>
  <c r="I43" i="1"/>
  <c r="J43" i="1"/>
  <c r="I303" i="1"/>
  <c r="J303" i="1"/>
  <c r="I2" i="1"/>
  <c r="J2" i="1"/>
  <c r="I489" i="1"/>
  <c r="J489" i="1"/>
  <c r="I374" i="1"/>
  <c r="J374" i="1"/>
  <c r="I408" i="1"/>
  <c r="J408" i="1"/>
  <c r="I135" i="1"/>
  <c r="J135" i="1"/>
  <c r="I203" i="1"/>
  <c r="J203" i="1"/>
  <c r="I208" i="1"/>
  <c r="J208" i="1"/>
  <c r="I336" i="1"/>
  <c r="J336" i="1"/>
  <c r="I361" i="1"/>
  <c r="J361" i="1"/>
  <c r="I186" i="1"/>
  <c r="J186" i="1"/>
  <c r="I323" i="1"/>
  <c r="J323" i="1"/>
  <c r="I21" i="1"/>
  <c r="J21" i="1"/>
  <c r="I199" i="1"/>
  <c r="J199" i="1"/>
  <c r="I122" i="1"/>
  <c r="J122" i="1"/>
  <c r="I180" i="1"/>
  <c r="J180" i="1"/>
  <c r="I123" i="1"/>
  <c r="J123" i="1"/>
  <c r="I26" i="1"/>
  <c r="J26" i="1"/>
  <c r="I217" i="1"/>
  <c r="J217" i="1"/>
  <c r="I258" i="1"/>
  <c r="J258" i="1"/>
  <c r="I87" i="1"/>
  <c r="J87" i="1"/>
  <c r="I379" i="1"/>
  <c r="J379" i="1"/>
  <c r="I174" i="1"/>
  <c r="J174" i="1"/>
  <c r="I102" i="1"/>
  <c r="J102" i="1"/>
  <c r="I35" i="1"/>
  <c r="J35" i="1"/>
  <c r="I451" i="1"/>
  <c r="J451" i="1"/>
  <c r="I234" i="1"/>
  <c r="J234" i="1"/>
  <c r="I36" i="1"/>
  <c r="J36" i="1"/>
  <c r="I136" i="1"/>
  <c r="J136" i="1"/>
  <c r="I299" i="1"/>
  <c r="J299" i="1"/>
  <c r="I5" i="1"/>
  <c r="J5" i="1"/>
  <c r="I393" i="1"/>
  <c r="J393" i="1"/>
  <c r="I371" i="1"/>
  <c r="J371" i="1"/>
  <c r="I268" i="1"/>
  <c r="J268" i="1"/>
  <c r="I69" i="1"/>
  <c r="J69" i="1"/>
  <c r="I494" i="1"/>
  <c r="J494" i="1"/>
  <c r="I388" i="1"/>
  <c r="J388" i="1"/>
  <c r="I220" i="1"/>
  <c r="J220" i="1"/>
  <c r="I161" i="1"/>
  <c r="J161" i="1"/>
  <c r="I437" i="1"/>
  <c r="J437" i="1"/>
  <c r="I153" i="1"/>
  <c r="J153" i="1"/>
  <c r="I284" i="1"/>
  <c r="J284" i="1"/>
  <c r="I128" i="1"/>
  <c r="J128" i="1"/>
  <c r="I103" i="1"/>
  <c r="J103" i="1"/>
  <c r="I201" i="1"/>
  <c r="J201" i="1"/>
  <c r="I16" i="1"/>
  <c r="J16" i="1"/>
  <c r="I232" i="1"/>
  <c r="J232" i="1"/>
  <c r="I450" i="1"/>
  <c r="J450" i="1"/>
  <c r="I14" i="1"/>
  <c r="J14" i="1"/>
  <c r="I334" i="1"/>
  <c r="J334" i="1"/>
  <c r="I429" i="1"/>
  <c r="J429" i="1"/>
  <c r="I192" i="1"/>
  <c r="J192" i="1"/>
  <c r="I416" i="1"/>
  <c r="J416" i="1"/>
  <c r="I202" i="1"/>
  <c r="J202" i="1"/>
  <c r="I138" i="1"/>
  <c r="J138" i="1"/>
  <c r="I448" i="1"/>
  <c r="J448" i="1"/>
  <c r="I328" i="1"/>
  <c r="J328" i="1"/>
  <c r="I295" i="1"/>
  <c r="J295" i="1"/>
  <c r="I350" i="1"/>
  <c r="J350" i="1"/>
  <c r="I23" i="1"/>
  <c r="J23" i="1"/>
  <c r="I12" i="1"/>
  <c r="J12" i="1"/>
  <c r="I287" i="1"/>
  <c r="J287" i="1"/>
  <c r="I182" i="1"/>
  <c r="J182" i="1"/>
  <c r="I382" i="1"/>
  <c r="J382" i="1"/>
  <c r="I321" i="1"/>
  <c r="J321" i="1"/>
  <c r="I386" i="1"/>
  <c r="J386" i="1"/>
  <c r="I9" i="1"/>
  <c r="J9" i="1"/>
  <c r="I283" i="1"/>
  <c r="J283" i="1"/>
  <c r="I81" i="1"/>
  <c r="J81" i="1"/>
  <c r="I67" i="1"/>
  <c r="J67" i="1"/>
  <c r="I263" i="1"/>
  <c r="J263" i="1"/>
  <c r="I61" i="1"/>
  <c r="J61" i="1"/>
  <c r="I245" i="1"/>
  <c r="J245" i="1"/>
  <c r="I482" i="1"/>
  <c r="J482" i="1"/>
  <c r="I163" i="1"/>
  <c r="J163" i="1"/>
  <c r="I25" i="1"/>
  <c r="J25" i="1"/>
  <c r="I168" i="1"/>
  <c r="J168" i="1"/>
  <c r="I355" i="1"/>
  <c r="J355" i="1"/>
  <c r="I430" i="1"/>
  <c r="J430" i="1"/>
  <c r="I498" i="1"/>
  <c r="J498" i="1"/>
  <c r="I187" i="1"/>
  <c r="J187" i="1"/>
  <c r="I65" i="1"/>
  <c r="J65" i="1"/>
  <c r="I251" i="1"/>
  <c r="J251" i="1"/>
  <c r="I209" i="1"/>
  <c r="J209" i="1"/>
  <c r="I453" i="1"/>
  <c r="J453" i="1"/>
  <c r="I481" i="1"/>
  <c r="J481" i="1"/>
  <c r="I177" i="1"/>
  <c r="J177" i="1"/>
  <c r="I414" i="1"/>
  <c r="J414" i="1"/>
  <c r="I326" i="1"/>
  <c r="J326" i="1"/>
  <c r="I354" i="1"/>
  <c r="J354" i="1"/>
  <c r="I104" i="1"/>
  <c r="J104" i="1"/>
  <c r="I290" i="1"/>
  <c r="J290" i="1"/>
  <c r="I344" i="1"/>
  <c r="J344" i="1"/>
  <c r="I403" i="1"/>
  <c r="J403" i="1"/>
  <c r="I45" i="1"/>
  <c r="J45" i="1"/>
  <c r="I97" i="1"/>
  <c r="J97" i="1"/>
  <c r="I278" i="1"/>
  <c r="J278" i="1"/>
  <c r="I119" i="1"/>
  <c r="J119" i="1"/>
  <c r="I247" i="1"/>
  <c r="J247" i="1"/>
  <c r="I246" i="1"/>
  <c r="J246" i="1"/>
  <c r="I183" i="1"/>
  <c r="J183" i="1"/>
  <c r="I195" i="1"/>
  <c r="J195" i="1"/>
  <c r="I256" i="1"/>
  <c r="J256" i="1"/>
  <c r="I204" i="1"/>
  <c r="J204" i="1"/>
  <c r="I51" i="1"/>
  <c r="J51" i="1"/>
  <c r="I127" i="1"/>
  <c r="J127" i="1"/>
  <c r="I8" i="1"/>
  <c r="J8" i="1"/>
  <c r="I239" i="1"/>
  <c r="J239" i="1"/>
  <c r="I483" i="1"/>
  <c r="J483" i="1"/>
  <c r="I302" i="1"/>
  <c r="J302" i="1"/>
  <c r="I83" i="1"/>
  <c r="J83" i="1"/>
  <c r="I111" i="1"/>
  <c r="J111" i="1"/>
  <c r="I380" i="1"/>
  <c r="J380" i="1"/>
  <c r="I254" i="1"/>
  <c r="J254" i="1"/>
  <c r="I150" i="1"/>
  <c r="J150" i="1"/>
  <c r="I345" i="1"/>
  <c r="J345" i="1"/>
  <c r="I17" i="1"/>
  <c r="J17" i="1"/>
  <c r="I31" i="1"/>
  <c r="J31" i="1"/>
  <c r="I94" i="1"/>
  <c r="J94" i="1"/>
  <c r="I447" i="1"/>
  <c r="J447" i="1"/>
  <c r="I27" i="1"/>
  <c r="J27" i="1"/>
  <c r="I296" i="1"/>
  <c r="J296" i="1"/>
  <c r="I356" i="1"/>
  <c r="J356" i="1"/>
  <c r="I50" i="1"/>
  <c r="J50" i="1"/>
  <c r="I164" i="1"/>
  <c r="J164" i="1"/>
  <c r="I134" i="1"/>
  <c r="J134" i="1"/>
  <c r="I391" i="1"/>
  <c r="J391" i="1"/>
  <c r="I455" i="1"/>
  <c r="J455" i="1"/>
  <c r="I479" i="1"/>
  <c r="J479" i="1"/>
  <c r="I194" i="1"/>
  <c r="J194" i="1"/>
  <c r="I366" i="1"/>
  <c r="J366" i="1"/>
  <c r="I293" i="1"/>
  <c r="J293" i="1"/>
  <c r="I478" i="1"/>
  <c r="J478" i="1"/>
  <c r="I160" i="1"/>
  <c r="J160" i="1"/>
  <c r="I169" i="1"/>
  <c r="J169" i="1"/>
  <c r="I298" i="1"/>
  <c r="J298" i="1"/>
  <c r="I30" i="1"/>
  <c r="J30" i="1"/>
  <c r="I468" i="1"/>
  <c r="J468" i="1"/>
  <c r="I117" i="1"/>
  <c r="J117" i="1"/>
  <c r="I124" i="1"/>
  <c r="J124" i="1"/>
  <c r="I79" i="1"/>
  <c r="J79" i="1"/>
  <c r="I457" i="1"/>
  <c r="J457" i="1"/>
  <c r="I198" i="1"/>
  <c r="J198" i="1"/>
  <c r="I462" i="1"/>
  <c r="J462" i="1"/>
  <c r="I427" i="1"/>
  <c r="J427" i="1"/>
  <c r="I294" i="1"/>
  <c r="J294" i="1"/>
  <c r="I477" i="1"/>
  <c r="J477" i="1"/>
  <c r="I353" i="1"/>
  <c r="J353" i="1"/>
  <c r="I237" i="1"/>
  <c r="J237" i="1"/>
  <c r="I233" i="1"/>
  <c r="J233" i="1"/>
  <c r="I185" i="1"/>
  <c r="J185" i="1"/>
  <c r="I473" i="1"/>
  <c r="J473" i="1"/>
  <c r="I300" i="1"/>
  <c r="J300" i="1"/>
  <c r="I297" i="1"/>
  <c r="J297" i="1"/>
  <c r="I89" i="1"/>
  <c r="J89" i="1"/>
  <c r="I495" i="1"/>
  <c r="J495" i="1"/>
  <c r="I423" i="1"/>
  <c r="J423" i="1"/>
  <c r="I154" i="1"/>
  <c r="J154" i="1"/>
  <c r="I415" i="1"/>
  <c r="J415" i="1"/>
  <c r="I149" i="1"/>
  <c r="J149" i="1"/>
  <c r="I262" i="1"/>
  <c r="J262" i="1"/>
  <c r="I95" i="1"/>
  <c r="J95" i="1"/>
  <c r="I140" i="1"/>
  <c r="J140" i="1"/>
  <c r="I363" i="1"/>
  <c r="J363" i="1"/>
  <c r="I243" i="1"/>
  <c r="J243" i="1"/>
  <c r="I24" i="1"/>
  <c r="J24" i="1"/>
  <c r="I273" i="1"/>
  <c r="J273" i="1"/>
  <c r="I500" i="1"/>
  <c r="J500" i="1"/>
  <c r="I349" i="1"/>
  <c r="J349" i="1"/>
  <c r="I88" i="1"/>
  <c r="J88" i="1"/>
  <c r="I145" i="1"/>
  <c r="J145" i="1"/>
  <c r="I91" i="1"/>
  <c r="J91" i="1"/>
  <c r="I230" i="1"/>
  <c r="J230" i="1"/>
  <c r="I452" i="1"/>
  <c r="J452" i="1"/>
  <c r="I49" i="1"/>
  <c r="J49" i="1"/>
  <c r="I365" i="1"/>
  <c r="J365" i="1"/>
  <c r="I259" i="1"/>
  <c r="J259" i="1"/>
  <c r="I129" i="1"/>
  <c r="J129" i="1"/>
  <c r="I54" i="1"/>
  <c r="J54" i="1"/>
  <c r="I311" i="1"/>
  <c r="J311" i="1"/>
  <c r="I343" i="1"/>
  <c r="J343" i="1"/>
  <c r="I472" i="1"/>
  <c r="J472" i="1"/>
  <c r="I274" i="1"/>
  <c r="J274" i="1"/>
  <c r="I176" i="1"/>
  <c r="J176" i="1"/>
  <c r="I37" i="1"/>
  <c r="J37" i="1"/>
  <c r="I291" i="1"/>
  <c r="J291" i="1"/>
  <c r="I417" i="1"/>
  <c r="J417" i="1"/>
  <c r="I250" i="1"/>
  <c r="J250" i="1"/>
  <c r="I346" i="1"/>
  <c r="J346" i="1"/>
  <c r="I475" i="1"/>
  <c r="J475" i="1"/>
  <c r="I486" i="1"/>
  <c r="J486" i="1"/>
  <c r="I288" i="1"/>
  <c r="J288" i="1"/>
  <c r="I39" i="1"/>
  <c r="J39" i="1"/>
  <c r="I223" i="1"/>
  <c r="J223" i="1"/>
  <c r="I367" i="1"/>
  <c r="J367" i="1"/>
  <c r="I304" i="1"/>
  <c r="J304" i="1"/>
  <c r="I196" i="1"/>
  <c r="J196" i="1"/>
  <c r="I428" i="1"/>
  <c r="J428" i="1"/>
  <c r="I306" i="1"/>
  <c r="J306" i="1"/>
  <c r="I118" i="1"/>
  <c r="J118" i="1"/>
  <c r="I47" i="1"/>
  <c r="J47" i="1"/>
  <c r="I212" i="1"/>
  <c r="J212" i="1"/>
  <c r="I40" i="1"/>
  <c r="J40" i="1"/>
  <c r="I378" i="1"/>
  <c r="J378" i="1"/>
  <c r="I276" i="1"/>
  <c r="J276" i="1"/>
  <c r="I286" i="1"/>
  <c r="J286" i="1"/>
  <c r="I216" i="1"/>
  <c r="J216" i="1"/>
  <c r="I229" i="1"/>
  <c r="J229" i="1"/>
  <c r="I332" i="1"/>
  <c r="J332" i="1"/>
  <c r="I335" i="1"/>
  <c r="J335" i="1"/>
  <c r="I439" i="1"/>
  <c r="J439" i="1"/>
  <c r="I401" i="1"/>
  <c r="J401" i="1"/>
  <c r="I467" i="1"/>
  <c r="J467" i="1"/>
  <c r="I56" i="1"/>
  <c r="J56" i="1"/>
  <c r="I99" i="1"/>
  <c r="J99" i="1"/>
  <c r="I90" i="1"/>
  <c r="J90" i="1"/>
  <c r="I484" i="1"/>
  <c r="J484" i="1"/>
  <c r="I7" i="1"/>
  <c r="J7" i="1"/>
  <c r="I75" i="1"/>
  <c r="J75" i="1"/>
  <c r="I255" i="1"/>
  <c r="J255" i="1"/>
  <c r="I265" i="1"/>
  <c r="J265" i="1"/>
  <c r="I445" i="1"/>
  <c r="J445" i="1"/>
  <c r="I434" i="1"/>
  <c r="J434" i="1"/>
  <c r="I469" i="1"/>
  <c r="J469" i="1"/>
  <c r="I281" i="1"/>
  <c r="J281" i="1"/>
  <c r="I271" i="1"/>
  <c r="J271" i="1"/>
  <c r="I72" i="1"/>
  <c r="J72" i="1"/>
  <c r="I76" i="1"/>
  <c r="J76" i="1"/>
  <c r="I339" i="1"/>
  <c r="J339" i="1"/>
  <c r="I471" i="1"/>
  <c r="J471" i="1"/>
  <c r="I351" i="1"/>
  <c r="J351" i="1"/>
  <c r="I244" i="1"/>
  <c r="J244" i="1"/>
  <c r="I34" i="1"/>
  <c r="J34" i="1"/>
  <c r="I324" i="1"/>
  <c r="J324" i="1"/>
  <c r="I4" i="1"/>
  <c r="J4" i="1"/>
  <c r="I18" i="1"/>
  <c r="J18" i="1"/>
  <c r="I178" i="1"/>
  <c r="J178" i="1"/>
  <c r="I312" i="1"/>
  <c r="J312" i="1"/>
  <c r="I316" i="1"/>
  <c r="J316" i="1"/>
  <c r="I392" i="1"/>
  <c r="J392" i="1"/>
  <c r="I22" i="1"/>
  <c r="J22" i="1"/>
  <c r="I213" i="1"/>
  <c r="J213" i="1"/>
  <c r="I385" i="1"/>
  <c r="J385" i="1"/>
  <c r="I28" i="1"/>
  <c r="J28" i="1"/>
  <c r="I109" i="1"/>
  <c r="J109" i="1"/>
  <c r="I71" i="1"/>
  <c r="J71" i="1"/>
  <c r="I362" i="1"/>
  <c r="J362" i="1"/>
  <c r="I193" i="1"/>
  <c r="J193" i="1"/>
  <c r="I426" i="1"/>
  <c r="J426" i="1"/>
  <c r="I142" i="1"/>
  <c r="J142" i="1"/>
  <c r="I340" i="1"/>
  <c r="J340" i="1"/>
  <c r="I377" i="1"/>
  <c r="J377" i="1"/>
  <c r="I173" i="1"/>
  <c r="J173" i="1"/>
  <c r="I329" i="1"/>
  <c r="J329" i="1"/>
  <c r="I420" i="1"/>
  <c r="J420" i="1"/>
  <c r="I130" i="1"/>
  <c r="J130" i="1"/>
  <c r="I260" i="1"/>
  <c r="J260" i="1"/>
  <c r="I373" i="1"/>
  <c r="J373" i="1"/>
  <c r="I440" i="1"/>
  <c r="J440" i="1"/>
  <c r="I59" i="1"/>
  <c r="J59" i="1"/>
  <c r="I493" i="1"/>
  <c r="J493" i="1"/>
  <c r="I84" i="1"/>
  <c r="J84" i="1"/>
  <c r="I305" i="1"/>
  <c r="J305" i="1"/>
  <c r="I411" i="1"/>
  <c r="J411" i="1"/>
  <c r="I443" i="1"/>
  <c r="J443" i="1"/>
  <c r="I438" i="1"/>
  <c r="J438" i="1"/>
  <c r="I73" i="1"/>
  <c r="J73" i="1"/>
  <c r="I496" i="1"/>
  <c r="J496" i="1"/>
  <c r="I397" i="1"/>
  <c r="J397" i="1"/>
  <c r="I162" i="1"/>
  <c r="J162" i="1"/>
  <c r="I116" i="1"/>
  <c r="J116" i="1"/>
  <c r="I165" i="1"/>
  <c r="J165" i="1"/>
  <c r="I442" i="1"/>
  <c r="J442" i="1"/>
  <c r="I11" i="1"/>
  <c r="J11" i="1"/>
  <c r="I466" i="1"/>
  <c r="J466" i="1"/>
  <c r="I57" i="1"/>
  <c r="J57" i="1"/>
  <c r="I400" i="1"/>
  <c r="J400" i="1"/>
  <c r="I358" i="1"/>
  <c r="J358" i="1"/>
  <c r="I211" i="1"/>
  <c r="J211" i="1"/>
  <c r="I248" i="1"/>
  <c r="J248" i="1"/>
  <c r="I444" i="1"/>
  <c r="J444" i="1"/>
  <c r="I105" i="1"/>
  <c r="J105" i="1"/>
  <c r="I337" i="1"/>
  <c r="J337" i="1"/>
  <c r="I459" i="1"/>
  <c r="J459" i="1"/>
  <c r="I214" i="1"/>
  <c r="J214" i="1"/>
  <c r="I313" i="1"/>
  <c r="J313" i="1"/>
  <c r="I93" i="1"/>
  <c r="J93" i="1"/>
  <c r="I317" i="1"/>
  <c r="J317" i="1"/>
  <c r="I308" i="1"/>
  <c r="J308" i="1"/>
  <c r="I376" i="1"/>
  <c r="J376" i="1"/>
  <c r="I289" i="1"/>
  <c r="J289" i="1"/>
  <c r="I422" i="1"/>
  <c r="J422" i="1"/>
  <c r="I436" i="1"/>
  <c r="J436" i="1"/>
  <c r="I68" i="1"/>
  <c r="J68" i="1"/>
  <c r="I360" i="1"/>
  <c r="J360" i="1"/>
  <c r="I238" i="1"/>
  <c r="J238" i="1"/>
  <c r="I269" i="1"/>
  <c r="J269" i="1"/>
  <c r="I132" i="1"/>
  <c r="J132" i="1"/>
  <c r="I342" i="1"/>
  <c r="J342" i="1"/>
  <c r="I425" i="1"/>
  <c r="J425" i="1"/>
  <c r="I446" i="1"/>
  <c r="J446" i="1"/>
  <c r="I341" i="1"/>
  <c r="J341" i="1"/>
  <c r="I110" i="1"/>
  <c r="J110" i="1"/>
  <c r="I141" i="1"/>
  <c r="J141" i="1"/>
  <c r="I146" i="1"/>
  <c r="J146" i="1"/>
  <c r="I301" i="1"/>
  <c r="J301" i="1"/>
  <c r="I29" i="1"/>
  <c r="J29" i="1"/>
  <c r="I32" i="1"/>
  <c r="J32" i="1"/>
  <c r="I44" i="1"/>
  <c r="J44" i="1"/>
  <c r="I121" i="1"/>
  <c r="J121" i="1"/>
  <c r="I170" i="1"/>
  <c r="J170" i="1"/>
  <c r="I396" i="1"/>
  <c r="J396" i="1"/>
  <c r="I431" i="1"/>
  <c r="J431" i="1"/>
  <c r="I314" i="1"/>
  <c r="J314" i="1"/>
  <c r="I418" i="1"/>
  <c r="J418" i="1"/>
  <c r="I487" i="1"/>
  <c r="J487" i="1"/>
  <c r="I282" i="1"/>
  <c r="J282" i="1"/>
  <c r="I399" i="1"/>
  <c r="J399" i="1"/>
  <c r="I113" i="1"/>
  <c r="J113" i="1"/>
  <c r="I315" i="1"/>
  <c r="J315" i="1"/>
  <c r="I101" i="1"/>
  <c r="J101" i="1"/>
  <c r="I501" i="1"/>
  <c r="J501" i="1"/>
  <c r="I48" i="1"/>
  <c r="J48" i="1"/>
  <c r="I257" i="1"/>
  <c r="J257" i="1"/>
  <c r="I236" i="1"/>
  <c r="J236" i="1"/>
  <c r="I151" i="1"/>
  <c r="J151" i="1"/>
  <c r="I13" i="1"/>
  <c r="J13" i="1"/>
  <c r="I74" i="1"/>
  <c r="J74" i="1"/>
  <c r="I225" i="1"/>
  <c r="J225" i="1"/>
  <c r="I106" i="1"/>
  <c r="J106" i="1"/>
  <c r="I184" i="1"/>
  <c r="J184" i="1"/>
  <c r="I410" i="1"/>
  <c r="J410" i="1"/>
  <c r="I485" i="1"/>
  <c r="J485" i="1"/>
  <c r="I460" i="1"/>
  <c r="J460" i="1"/>
  <c r="I383" i="1"/>
  <c r="J383" i="1"/>
  <c r="I441" i="1"/>
  <c r="J441" i="1"/>
  <c r="I207" i="1"/>
  <c r="J207" i="1"/>
  <c r="I120" i="1"/>
  <c r="J120" i="1"/>
  <c r="I114" i="1"/>
  <c r="J114" i="1"/>
  <c r="I307" i="1"/>
  <c r="J307" i="1"/>
  <c r="I390" i="1"/>
  <c r="J390" i="1"/>
  <c r="I499" i="1"/>
  <c r="J499" i="1"/>
  <c r="I327" i="1"/>
  <c r="J327" i="1"/>
  <c r="I200" i="1"/>
  <c r="J200" i="1"/>
  <c r="I292" i="1"/>
  <c r="J292" i="1"/>
  <c r="I205" i="1"/>
  <c r="J205" i="1"/>
  <c r="I96" i="1"/>
  <c r="J96" i="1"/>
  <c r="I52" i="1"/>
  <c r="J52" i="1"/>
  <c r="I60" i="1"/>
  <c r="J60" i="1"/>
  <c r="I42" i="1"/>
  <c r="J42" i="1"/>
  <c r="I100" i="1"/>
  <c r="J100" i="1"/>
  <c r="I338" i="1"/>
  <c r="J338" i="1"/>
  <c r="I107" i="1"/>
  <c r="J107" i="1"/>
  <c r="I62" i="1"/>
  <c r="J62" i="1"/>
  <c r="I131" i="1"/>
  <c r="J131" i="1"/>
  <c r="I191" i="1"/>
  <c r="J191" i="1"/>
  <c r="I272" i="1"/>
  <c r="J272" i="1"/>
  <c r="I227" i="1"/>
  <c r="J227" i="1"/>
  <c r="I235" i="1"/>
  <c r="J235" i="1"/>
  <c r="I215" i="1"/>
  <c r="J215" i="1"/>
  <c r="I491" i="1"/>
  <c r="J491" i="1"/>
  <c r="I157" i="1"/>
  <c r="J157" i="1"/>
  <c r="I82" i="1"/>
  <c r="J82" i="1"/>
  <c r="I226" i="1"/>
  <c r="J226" i="1"/>
  <c r="I147" i="1"/>
  <c r="J147" i="1"/>
  <c r="I249" i="1"/>
  <c r="J249" i="1"/>
  <c r="I406" i="1"/>
  <c r="J406" i="1"/>
  <c r="I228" i="1"/>
  <c r="J228" i="1"/>
  <c r="I370" i="1"/>
  <c r="J370" i="1"/>
  <c r="I357" i="1"/>
  <c r="J357" i="1"/>
  <c r="I64" i="1"/>
  <c r="J64" i="1"/>
  <c r="I112" i="1"/>
  <c r="J112" i="1"/>
  <c r="I172" i="1"/>
  <c r="J172" i="1"/>
  <c r="I219" i="1"/>
  <c r="J219" i="1"/>
  <c r="I476" i="1"/>
  <c r="J476" i="1"/>
  <c r="I144" i="1"/>
  <c r="J144" i="1"/>
  <c r="I331" i="1"/>
  <c r="J331" i="1"/>
  <c r="I167" i="1"/>
  <c r="J167" i="1"/>
  <c r="I85" i="1"/>
  <c r="J85" i="1"/>
  <c r="I347" i="1"/>
  <c r="J347" i="1"/>
  <c r="I348" i="1"/>
  <c r="J348" i="1"/>
  <c r="I319" i="1"/>
  <c r="J319" i="1"/>
  <c r="I77" i="1"/>
  <c r="J77" i="1"/>
  <c r="I58" i="1"/>
  <c r="J58" i="1"/>
  <c r="I148" i="1"/>
  <c r="J148" i="1"/>
  <c r="I189" i="1"/>
  <c r="J189" i="1"/>
  <c r="I424" i="1"/>
  <c r="J424" i="1"/>
  <c r="I55" i="1"/>
  <c r="J55" i="1"/>
  <c r="I20" i="1"/>
  <c r="J20" i="1"/>
  <c r="I389" i="1"/>
  <c r="J389" i="1"/>
  <c r="I218" i="1"/>
  <c r="J218" i="1"/>
  <c r="I240" i="1"/>
  <c r="J240" i="1"/>
  <c r="I464" i="1"/>
  <c r="J464" i="1"/>
  <c r="I352" i="1"/>
  <c r="J352" i="1"/>
  <c r="I221" i="1"/>
  <c r="J221" i="1"/>
  <c r="I461" i="1"/>
  <c r="J461" i="1"/>
  <c r="I387" i="1"/>
  <c r="J387" i="1"/>
  <c r="I381" i="1"/>
  <c r="J381" i="1"/>
  <c r="I277" i="1"/>
  <c r="J277" i="1"/>
  <c r="I419" i="1"/>
  <c r="J419" i="1"/>
  <c r="I318" i="1"/>
  <c r="J318" i="1"/>
  <c r="I206" i="1"/>
  <c r="J206" i="1"/>
  <c r="I470" i="1"/>
  <c r="J470" i="1"/>
  <c r="I407" i="1"/>
  <c r="J407" i="1"/>
  <c r="I38" i="1"/>
  <c r="J38" i="1"/>
  <c r="I384" i="1"/>
  <c r="J384" i="1"/>
  <c r="I15" i="1"/>
  <c r="J15" i="1"/>
  <c r="I364" i="1"/>
  <c r="J364" i="1"/>
  <c r="I159" i="1"/>
  <c r="J159" i="1"/>
  <c r="I280" i="1"/>
  <c r="J280" i="1"/>
  <c r="I181" i="1"/>
  <c r="J181" i="1"/>
  <c r="I179" i="1"/>
  <c r="J179" i="1"/>
  <c r="I3" i="1"/>
  <c r="J3" i="1"/>
  <c r="I492" i="1"/>
  <c r="J492" i="1"/>
  <c r="I497" i="1"/>
  <c r="J497" i="1"/>
  <c r="I231" i="1"/>
  <c r="J231" i="1"/>
  <c r="I359" i="1"/>
  <c r="J359" i="1"/>
  <c r="I465" i="1"/>
  <c r="J465" i="1"/>
  <c r="I126" i="1"/>
  <c r="J126" i="1"/>
  <c r="I224" i="1"/>
  <c r="J224" i="1"/>
  <c r="I421" i="1"/>
  <c r="J421" i="1"/>
  <c r="I158" i="1"/>
  <c r="J158" i="1"/>
  <c r="I133" i="1"/>
  <c r="J133" i="1"/>
  <c r="I188" i="1"/>
  <c r="J188" i="1"/>
  <c r="I139" i="1"/>
  <c r="J139" i="1"/>
  <c r="I330" i="1"/>
  <c r="J330" i="1"/>
  <c r="I252" i="1"/>
  <c r="J252" i="1"/>
  <c r="I398" i="1"/>
  <c r="J398" i="1"/>
  <c r="I488" i="1"/>
  <c r="J488" i="1"/>
  <c r="I394" i="1"/>
  <c r="J394" i="1"/>
  <c r="I395" i="1"/>
  <c r="J395" i="1"/>
  <c r="I125" i="1"/>
  <c r="J125" i="1"/>
  <c r="I41" i="1"/>
  <c r="J41" i="1"/>
  <c r="I267" i="1"/>
  <c r="J267" i="1"/>
  <c r="I253" i="1"/>
  <c r="J253" i="1"/>
  <c r="I375" i="1"/>
  <c r="J375" i="1"/>
  <c r="I405" i="1"/>
  <c r="J405" i="1"/>
  <c r="I463" i="1"/>
  <c r="J463" i="1"/>
  <c r="I19" i="1"/>
  <c r="J19" i="1"/>
  <c r="I320" i="1"/>
  <c r="J320" i="1"/>
  <c r="I279" i="1"/>
  <c r="J279" i="1"/>
  <c r="I266" i="1"/>
  <c r="J266" i="1"/>
  <c r="I86" i="1"/>
  <c r="J86" i="1"/>
  <c r="I175" i="1"/>
  <c r="J175" i="1"/>
  <c r="I190" i="1"/>
  <c r="J190" i="1"/>
  <c r="I435" i="1"/>
  <c r="J435" i="1"/>
  <c r="I152" i="1"/>
  <c r="J152" i="1"/>
  <c r="I6" i="1"/>
  <c r="J6" i="1"/>
  <c r="I413" i="1"/>
  <c r="J413" i="1"/>
  <c r="I458" i="1"/>
  <c r="J458" i="1"/>
  <c r="I171" i="1"/>
  <c r="J171" i="1"/>
  <c r="I53" i="1"/>
  <c r="J53" i="1"/>
  <c r="I325" i="1"/>
  <c r="J325" i="1"/>
  <c r="I156" i="1"/>
  <c r="J156" i="1"/>
  <c r="I33" i="1"/>
  <c r="J33" i="1"/>
  <c r="I309" i="1"/>
  <c r="J309" i="1"/>
  <c r="L171" i="1" l="1"/>
  <c r="M171" i="1" s="1"/>
  <c r="L19" i="1"/>
  <c r="M19" i="1" s="1"/>
  <c r="L252" i="1"/>
  <c r="M252" i="1" s="1"/>
  <c r="L159" i="1"/>
  <c r="M159" i="1" s="1"/>
  <c r="L387" i="1"/>
  <c r="M387" i="1" s="1"/>
  <c r="L148" i="1"/>
  <c r="M148" i="1" s="1"/>
  <c r="L172" i="1"/>
  <c r="M172" i="1" s="1"/>
  <c r="L131" i="1"/>
  <c r="M131" i="1" s="1"/>
  <c r="L327" i="1"/>
  <c r="M327" i="1" s="1"/>
  <c r="L184" i="1"/>
  <c r="M184" i="1" s="1"/>
  <c r="L113" i="1"/>
  <c r="M113" i="1" s="1"/>
  <c r="L29" i="1"/>
  <c r="M29" i="1" s="1"/>
  <c r="L360" i="1"/>
  <c r="M360" i="1" s="1"/>
  <c r="L400" i="1"/>
  <c r="M400" i="1" s="1"/>
  <c r="L443" i="1"/>
  <c r="M443" i="1" s="1"/>
  <c r="L173" i="1"/>
  <c r="M173" i="1" s="1"/>
  <c r="L22" i="1"/>
  <c r="M22" i="1" s="1"/>
  <c r="L339" i="1"/>
  <c r="M339" i="1" s="1"/>
  <c r="L484" i="1"/>
  <c r="M484" i="1" s="1"/>
  <c r="L276" i="1"/>
  <c r="M276" i="1" s="1"/>
  <c r="L39" i="1"/>
  <c r="M39" i="1" s="1"/>
  <c r="L343" i="1"/>
  <c r="M343" i="1" s="1"/>
  <c r="L349" i="1"/>
  <c r="M349" i="1" s="1"/>
  <c r="L423" i="1"/>
  <c r="M423" i="1" s="1"/>
  <c r="L117" i="1"/>
  <c r="M117" i="1" s="1"/>
  <c r="L391" i="1"/>
  <c r="M391" i="1" s="1"/>
  <c r="L150" i="1"/>
  <c r="M150" i="1" s="1"/>
  <c r="L256" i="1"/>
  <c r="M256" i="1" s="1"/>
  <c r="L104" i="1"/>
  <c r="M104" i="1" s="1"/>
  <c r="L245" i="1"/>
  <c r="M245" i="1" s="1"/>
  <c r="L12" i="1"/>
  <c r="M12" i="1" s="1"/>
  <c r="L14" i="1"/>
  <c r="M14" i="1" s="1"/>
  <c r="L421" i="1"/>
  <c r="M421" i="1" s="1"/>
  <c r="L406" i="1"/>
  <c r="M406" i="1" s="1"/>
  <c r="L308" i="1"/>
  <c r="M308" i="1" s="1"/>
  <c r="L427" i="1"/>
  <c r="M427" i="1" s="1"/>
  <c r="L190" i="1"/>
  <c r="M190" i="1" s="1"/>
  <c r="L41" i="1"/>
  <c r="M41" i="1" s="1"/>
  <c r="L497" i="1"/>
  <c r="M497" i="1" s="1"/>
  <c r="L470" i="1"/>
  <c r="M470" i="1" s="1"/>
  <c r="L218" i="1"/>
  <c r="M218" i="1" s="1"/>
  <c r="L85" i="1"/>
  <c r="M85" i="1" s="1"/>
  <c r="L491" i="1"/>
  <c r="M491" i="1" s="1"/>
  <c r="L60" i="1"/>
  <c r="M60" i="1" s="1"/>
  <c r="L207" i="1"/>
  <c r="M207" i="1" s="1"/>
  <c r="L236" i="1"/>
  <c r="M236" i="1" s="1"/>
  <c r="L431" i="1"/>
  <c r="M431" i="1" s="1"/>
  <c r="L446" i="1"/>
  <c r="M446" i="1" s="1"/>
  <c r="L337" i="1"/>
  <c r="M337" i="1" s="1"/>
  <c r="L116" i="1"/>
  <c r="M116" i="1" s="1"/>
  <c r="L440" i="1"/>
  <c r="M440" i="1" s="1"/>
  <c r="L362" i="1"/>
  <c r="M362" i="1" s="1"/>
  <c r="L4" i="1"/>
  <c r="M4" i="1" s="1"/>
  <c r="L434" i="1"/>
  <c r="M434" i="1" s="1"/>
  <c r="L439" i="1"/>
  <c r="M439" i="1" s="1"/>
  <c r="L306" i="1"/>
  <c r="M306" i="1" s="1"/>
  <c r="L417" i="1"/>
  <c r="M417" i="1" s="1"/>
  <c r="L49" i="1"/>
  <c r="M49" i="1" s="1"/>
  <c r="L140" i="1"/>
  <c r="M140" i="1" s="1"/>
  <c r="L185" i="1"/>
  <c r="M185" i="1" s="1"/>
  <c r="L478" i="1"/>
  <c r="M478" i="1" s="1"/>
  <c r="L27" i="1"/>
  <c r="M27" i="1" s="1"/>
  <c r="L483" i="1"/>
  <c r="M483" i="1" s="1"/>
  <c r="L278" i="1"/>
  <c r="M278" i="1" s="1"/>
  <c r="L453" i="1"/>
  <c r="M453" i="1" s="1"/>
  <c r="L430" i="1"/>
  <c r="M430" i="1" s="1"/>
  <c r="L9" i="1"/>
  <c r="M9" i="1" s="1"/>
  <c r="L138" i="1"/>
  <c r="M138" i="1" s="1"/>
  <c r="L128" i="1"/>
  <c r="M128" i="1" s="1"/>
  <c r="L217" i="1"/>
  <c r="M217" i="1" s="1"/>
  <c r="L53" i="1"/>
  <c r="M53" i="1" s="1"/>
  <c r="L435" i="1"/>
  <c r="M435" i="1" s="1"/>
  <c r="L320" i="1"/>
  <c r="M320" i="1" s="1"/>
  <c r="L267" i="1"/>
  <c r="M267" i="1" s="1"/>
  <c r="L398" i="1"/>
  <c r="M398" i="1" s="1"/>
  <c r="L158" i="1"/>
  <c r="M158" i="1" s="1"/>
  <c r="L231" i="1"/>
  <c r="M231" i="1" s="1"/>
  <c r="L280" i="1"/>
  <c r="M280" i="1" s="1"/>
  <c r="L407" i="1"/>
  <c r="M407" i="1" s="1"/>
  <c r="L381" i="1"/>
  <c r="M381" i="1" s="1"/>
  <c r="L240" i="1"/>
  <c r="M240" i="1" s="1"/>
  <c r="L189" i="1"/>
  <c r="M189" i="1" s="1"/>
  <c r="L347" i="1"/>
  <c r="M347" i="1" s="1"/>
  <c r="L219" i="1"/>
  <c r="M219" i="1" s="1"/>
  <c r="L228" i="1"/>
  <c r="M228" i="1" s="1"/>
  <c r="L157" i="1"/>
  <c r="M157" i="1" s="1"/>
  <c r="L191" i="1"/>
  <c r="M191" i="1" s="1"/>
  <c r="L42" i="1"/>
  <c r="M42" i="1" s="1"/>
  <c r="L200" i="1"/>
  <c r="M200" i="1" s="1"/>
  <c r="L120" i="1"/>
  <c r="M120" i="1" s="1"/>
  <c r="L410" i="1"/>
  <c r="M410" i="1" s="1"/>
  <c r="L151" i="1"/>
  <c r="M151" i="1" s="1"/>
  <c r="L315" i="1"/>
  <c r="M315" i="1" s="1"/>
  <c r="L314" i="1"/>
  <c r="M314" i="1" s="1"/>
  <c r="L32" i="1"/>
  <c r="M32" i="1" s="1"/>
  <c r="L341" i="1"/>
  <c r="M341" i="1" s="1"/>
  <c r="L238" i="1"/>
  <c r="M238" i="1" s="1"/>
  <c r="L376" i="1"/>
  <c r="M376" i="1" s="1"/>
  <c r="L459" i="1"/>
  <c r="M459" i="1" s="1"/>
  <c r="L358" i="1"/>
  <c r="M358" i="1" s="1"/>
  <c r="L165" i="1"/>
  <c r="M165" i="1" s="1"/>
  <c r="L438" i="1"/>
  <c r="M438" i="1" s="1"/>
  <c r="L59" i="1"/>
  <c r="M59" i="1" s="1"/>
  <c r="L329" i="1"/>
  <c r="M329" i="1" s="1"/>
  <c r="L193" i="1"/>
  <c r="M193" i="1" s="1"/>
  <c r="L213" i="1"/>
  <c r="M213" i="1" s="1"/>
  <c r="L18" i="1"/>
  <c r="M18" i="1" s="1"/>
  <c r="L471" i="1"/>
  <c r="M471" i="1" s="1"/>
  <c r="L469" i="1"/>
  <c r="M469" i="1" s="1"/>
  <c r="L7" i="1"/>
  <c r="M7" i="1" s="1"/>
  <c r="L401" i="1"/>
  <c r="M401" i="1" s="1"/>
  <c r="L286" i="1"/>
  <c r="M286" i="1" s="1"/>
  <c r="L118" i="1"/>
  <c r="M118" i="1" s="1"/>
  <c r="L223" i="1"/>
  <c r="M223" i="1" s="1"/>
  <c r="L250" i="1"/>
  <c r="M250" i="1" s="1"/>
  <c r="L472" i="1"/>
  <c r="M472" i="1" s="1"/>
  <c r="L365" i="1"/>
  <c r="M365" i="1" s="1"/>
  <c r="L88" i="1"/>
  <c r="M88" i="1" s="1"/>
  <c r="L363" i="1"/>
  <c r="M363" i="1" s="1"/>
  <c r="L154" i="1"/>
  <c r="M154" i="1" s="1"/>
  <c r="L473" i="1"/>
  <c r="M473" i="1" s="1"/>
  <c r="L294" i="1"/>
  <c r="M294" i="1" s="1"/>
  <c r="L124" i="1"/>
  <c r="M124" i="1" s="1"/>
  <c r="L160" i="1"/>
  <c r="M160" i="1" s="1"/>
  <c r="L455" i="1"/>
  <c r="M455" i="1" s="1"/>
  <c r="L296" i="1"/>
  <c r="M296" i="1" s="1"/>
  <c r="L345" i="1"/>
  <c r="M345" i="1" s="1"/>
  <c r="L302" i="1"/>
  <c r="M302" i="1" s="1"/>
  <c r="L204" i="1"/>
  <c r="M204" i="1" s="1"/>
  <c r="L119" i="1"/>
  <c r="M119" i="1" s="1"/>
  <c r="L290" i="1"/>
  <c r="M290" i="1" s="1"/>
  <c r="L481" i="1"/>
  <c r="M481" i="1" s="1"/>
  <c r="L498" i="1"/>
  <c r="M498" i="1" s="1"/>
  <c r="L482" i="1"/>
  <c r="M482" i="1" s="1"/>
  <c r="L283" i="1"/>
  <c r="M283" i="1" s="1"/>
  <c r="L287" i="1"/>
  <c r="M287" i="1" s="1"/>
  <c r="L448" i="1"/>
  <c r="M448" i="1" s="1"/>
  <c r="L334" i="1"/>
  <c r="M334" i="1" s="1"/>
  <c r="L103" i="1"/>
  <c r="M103" i="1" s="1"/>
  <c r="L220" i="1"/>
  <c r="M220" i="1" s="1"/>
  <c r="L393" i="1"/>
  <c r="M393" i="1" s="1"/>
  <c r="L451" i="1"/>
  <c r="M451" i="1" s="1"/>
  <c r="L258" i="1"/>
  <c r="M258" i="1" s="1"/>
  <c r="L199" i="1"/>
  <c r="M199" i="1" s="1"/>
  <c r="L208" i="1"/>
  <c r="M208" i="1" s="1"/>
  <c r="L2" i="1"/>
  <c r="M2" i="1" s="1"/>
  <c r="L115" i="1"/>
  <c r="M115" i="1" s="1"/>
  <c r="L372" i="1"/>
  <c r="M372" i="1" s="1"/>
  <c r="L449" i="1"/>
  <c r="M449" i="1" s="1"/>
  <c r="L155" i="1"/>
  <c r="M155" i="1" s="1"/>
  <c r="L78" i="1"/>
  <c r="M78" i="1" s="1"/>
  <c r="L456" i="1"/>
  <c r="M456" i="1" s="1"/>
  <c r="L275" i="1"/>
  <c r="M275" i="1" s="1"/>
  <c r="L5" i="1"/>
  <c r="M5" i="1" s="1"/>
  <c r="L21" i="1"/>
  <c r="M21" i="1" s="1"/>
  <c r="L303" i="1"/>
  <c r="M303" i="1" s="1"/>
  <c r="L80" i="1"/>
  <c r="M80" i="1" s="1"/>
  <c r="L480" i="1"/>
  <c r="M480" i="1" s="1"/>
  <c r="L409" i="1"/>
  <c r="M409" i="1" s="1"/>
  <c r="L458" i="1"/>
  <c r="M458" i="1" s="1"/>
  <c r="L463" i="1"/>
  <c r="M463" i="1" s="1"/>
  <c r="L224" i="1"/>
  <c r="M224" i="1" s="1"/>
  <c r="L364" i="1"/>
  <c r="M364" i="1" s="1"/>
  <c r="L389" i="1"/>
  <c r="M389" i="1" s="1"/>
  <c r="L112" i="1"/>
  <c r="M112" i="1" s="1"/>
  <c r="L62" i="1"/>
  <c r="M62" i="1" s="1"/>
  <c r="L499" i="1"/>
  <c r="M499" i="1" s="1"/>
  <c r="L106" i="1"/>
  <c r="M106" i="1" s="1"/>
  <c r="L396" i="1"/>
  <c r="M396" i="1" s="1"/>
  <c r="L425" i="1"/>
  <c r="M425" i="1" s="1"/>
  <c r="L105" i="1"/>
  <c r="M105" i="1" s="1"/>
  <c r="L162" i="1"/>
  <c r="M162" i="1" s="1"/>
  <c r="L377" i="1"/>
  <c r="M377" i="1" s="1"/>
  <c r="L392" i="1"/>
  <c r="M392" i="1" s="1"/>
  <c r="L445" i="1"/>
  <c r="M445" i="1" s="1"/>
  <c r="L335" i="1"/>
  <c r="M335" i="1" s="1"/>
  <c r="L288" i="1"/>
  <c r="M288" i="1" s="1"/>
  <c r="L311" i="1"/>
  <c r="M311" i="1" s="1"/>
  <c r="L500" i="1"/>
  <c r="M500" i="1" s="1"/>
  <c r="L233" i="1"/>
  <c r="M233" i="1" s="1"/>
  <c r="L468" i="1"/>
  <c r="M468" i="1" s="1"/>
  <c r="L134" i="1"/>
  <c r="M134" i="1" s="1"/>
  <c r="L239" i="1"/>
  <c r="M239" i="1" s="1"/>
  <c r="L97" i="1"/>
  <c r="M97" i="1" s="1"/>
  <c r="L355" i="1"/>
  <c r="M355" i="1" s="1"/>
  <c r="L386" i="1"/>
  <c r="M386" i="1" s="1"/>
  <c r="L202" i="1"/>
  <c r="M202" i="1" s="1"/>
  <c r="L494" i="1"/>
  <c r="M494" i="1" s="1"/>
  <c r="L102" i="1"/>
  <c r="M102" i="1" s="1"/>
  <c r="L323" i="1"/>
  <c r="M323" i="1" s="1"/>
  <c r="L137" i="1"/>
  <c r="M137" i="1" s="1"/>
  <c r="L92" i="1"/>
  <c r="M92" i="1" s="1"/>
  <c r="L242" i="1"/>
  <c r="M242" i="1" s="1"/>
  <c r="L33" i="1"/>
  <c r="M33" i="1" s="1"/>
  <c r="L86" i="1"/>
  <c r="M86" i="1" s="1"/>
  <c r="L139" i="1"/>
  <c r="M139" i="1" s="1"/>
  <c r="L15" i="1"/>
  <c r="M15" i="1" s="1"/>
  <c r="L221" i="1"/>
  <c r="M221" i="1" s="1"/>
  <c r="L331" i="1"/>
  <c r="M331" i="1" s="1"/>
  <c r="L147" i="1"/>
  <c r="M147" i="1" s="1"/>
  <c r="L107" i="1"/>
  <c r="M107" i="1" s="1"/>
  <c r="L383" i="1"/>
  <c r="M383" i="1" s="1"/>
  <c r="L48" i="1"/>
  <c r="M48" i="1" s="1"/>
  <c r="L146" i="1"/>
  <c r="M146" i="1" s="1"/>
  <c r="L436" i="1"/>
  <c r="M436" i="1" s="1"/>
  <c r="L444" i="1"/>
  <c r="M444" i="1" s="1"/>
  <c r="L305" i="1"/>
  <c r="M305" i="1" s="1"/>
  <c r="L340" i="1"/>
  <c r="M340" i="1" s="1"/>
  <c r="L34" i="1"/>
  <c r="M34" i="1" s="1"/>
  <c r="L265" i="1"/>
  <c r="M265" i="1" s="1"/>
  <c r="L332" i="1"/>
  <c r="M332" i="1" s="1"/>
  <c r="L486" i="1"/>
  <c r="M486" i="1" s="1"/>
  <c r="L54" i="1"/>
  <c r="M54" i="1" s="1"/>
  <c r="L262" i="1"/>
  <c r="M262" i="1" s="1"/>
  <c r="L198" i="1"/>
  <c r="M198" i="1" s="1"/>
  <c r="L366" i="1"/>
  <c r="M366" i="1" s="1"/>
  <c r="L94" i="1"/>
  <c r="M94" i="1" s="1"/>
  <c r="L183" i="1"/>
  <c r="M183" i="1" s="1"/>
  <c r="L326" i="1"/>
  <c r="M326" i="1" s="1"/>
  <c r="L168" i="1"/>
  <c r="M168" i="1" s="1"/>
  <c r="L321" i="1"/>
  <c r="M321" i="1" s="1"/>
  <c r="L232" i="1"/>
  <c r="M232" i="1" s="1"/>
  <c r="L69" i="1"/>
  <c r="M69" i="1" s="1"/>
  <c r="L136" i="1"/>
  <c r="M136" i="1" s="1"/>
  <c r="L123" i="1"/>
  <c r="M123" i="1" s="1"/>
  <c r="L408" i="1"/>
  <c r="M408" i="1" s="1"/>
  <c r="L197" i="1"/>
  <c r="M197" i="1" s="1"/>
  <c r="L143" i="1"/>
  <c r="M143" i="1" s="1"/>
  <c r="L368" i="1"/>
  <c r="M368" i="1" s="1"/>
  <c r="L156" i="1"/>
  <c r="M156" i="1" s="1"/>
  <c r="L6" i="1"/>
  <c r="M6" i="1" s="1"/>
  <c r="L266" i="1"/>
  <c r="M266" i="1" s="1"/>
  <c r="L375" i="1"/>
  <c r="M375" i="1" s="1"/>
  <c r="L394" i="1"/>
  <c r="M394" i="1" s="1"/>
  <c r="L188" i="1"/>
  <c r="M188" i="1" s="1"/>
  <c r="L465" i="1"/>
  <c r="M465" i="1" s="1"/>
  <c r="L179" i="1"/>
  <c r="M179" i="1" s="1"/>
  <c r="L384" i="1"/>
  <c r="M384" i="1" s="1"/>
  <c r="L419" i="1"/>
  <c r="M419" i="1" s="1"/>
  <c r="L352" i="1"/>
  <c r="M352" i="1" s="1"/>
  <c r="L55" i="1"/>
  <c r="M55" i="1" s="1"/>
  <c r="L319" i="1"/>
  <c r="M319" i="1" s="1"/>
  <c r="L144" i="1"/>
  <c r="M144" i="1" s="1"/>
  <c r="L357" i="1"/>
  <c r="M357" i="1" s="1"/>
  <c r="L226" i="1"/>
  <c r="M226" i="1" s="1"/>
  <c r="L227" i="1"/>
  <c r="M227" i="1" s="1"/>
  <c r="L338" i="1"/>
  <c r="M338" i="1" s="1"/>
  <c r="L205" i="1"/>
  <c r="M205" i="1" s="1"/>
  <c r="L307" i="1"/>
  <c r="M307" i="1" s="1"/>
  <c r="L460" i="1"/>
  <c r="M460" i="1" s="1"/>
  <c r="L74" i="1"/>
  <c r="M74" i="1" s="1"/>
  <c r="L501" i="1"/>
  <c r="M501" i="1" s="1"/>
  <c r="L487" i="1"/>
  <c r="M487" i="1" s="1"/>
  <c r="L121" i="1"/>
  <c r="M121" i="1" s="1"/>
  <c r="L141" i="1"/>
  <c r="M141" i="1" s="1"/>
  <c r="L132" i="1"/>
  <c r="M132" i="1" s="1"/>
  <c r="L422" i="1"/>
  <c r="M422" i="1" s="1"/>
  <c r="L313" i="1"/>
  <c r="M313" i="1" s="1"/>
  <c r="L248" i="1"/>
  <c r="M248" i="1" s="1"/>
  <c r="L11" i="1"/>
  <c r="M11" i="1" s="1"/>
  <c r="L496" i="1"/>
  <c r="M496" i="1" s="1"/>
  <c r="L84" i="1"/>
  <c r="M84" i="1" s="1"/>
  <c r="L130" i="1"/>
  <c r="M130" i="1" s="1"/>
  <c r="L142" i="1"/>
  <c r="M142" i="1" s="1"/>
  <c r="L28" i="1"/>
  <c r="M28" i="1" s="1"/>
  <c r="L312" i="1"/>
  <c r="M312" i="1" s="1"/>
  <c r="L244" i="1"/>
  <c r="M244" i="1" s="1"/>
  <c r="L271" i="1"/>
  <c r="M271" i="1" s="1"/>
  <c r="L255" i="1"/>
  <c r="M255" i="1" s="1"/>
  <c r="L56" i="1"/>
  <c r="M56" i="1" s="1"/>
  <c r="L229" i="1"/>
  <c r="M229" i="1" s="1"/>
  <c r="L212" i="1"/>
  <c r="M212" i="1" s="1"/>
  <c r="L304" i="1"/>
  <c r="M304" i="1" s="1"/>
  <c r="L475" i="1"/>
  <c r="M475" i="1" s="1"/>
  <c r="L176" i="1"/>
  <c r="M176" i="1" s="1"/>
  <c r="L129" i="1"/>
  <c r="M129" i="1" s="1"/>
  <c r="L91" i="1"/>
  <c r="M91" i="1" s="1"/>
  <c r="L24" i="1"/>
  <c r="M24" i="1" s="1"/>
  <c r="L149" i="1"/>
  <c r="M149" i="1" s="1"/>
  <c r="L297" i="1"/>
  <c r="M297" i="1" s="1"/>
  <c r="L353" i="1"/>
  <c r="M353" i="1" s="1"/>
  <c r="L457" i="1"/>
  <c r="M457" i="1" s="1"/>
  <c r="L298" i="1"/>
  <c r="M298" i="1" s="1"/>
  <c r="L194" i="1"/>
  <c r="M194" i="1" s="1"/>
  <c r="L50" i="1"/>
  <c r="M50" i="1" s="1"/>
  <c r="L31" i="1"/>
  <c r="M31" i="1" s="1"/>
  <c r="L111" i="1"/>
  <c r="M111" i="1" s="1"/>
  <c r="L127" i="1"/>
  <c r="M127" i="1" s="1"/>
  <c r="L246" i="1"/>
  <c r="M246" i="1" s="1"/>
  <c r="L403" i="1"/>
  <c r="M403" i="1" s="1"/>
  <c r="L414" i="1"/>
  <c r="M414" i="1" s="1"/>
  <c r="L65" i="1"/>
  <c r="M65" i="1" s="1"/>
  <c r="L25" i="1"/>
  <c r="M25" i="1" s="1"/>
  <c r="L67" i="1"/>
  <c r="M67" i="1" s="1"/>
  <c r="L382" i="1"/>
  <c r="M382" i="1" s="1"/>
  <c r="L295" i="1"/>
  <c r="M295" i="1" s="1"/>
  <c r="L192" i="1"/>
  <c r="M192" i="1" s="1"/>
  <c r="L16" i="1"/>
  <c r="M16" i="1" s="1"/>
  <c r="L437" i="1"/>
  <c r="M437" i="1" s="1"/>
  <c r="L268" i="1"/>
  <c r="M268" i="1" s="1"/>
  <c r="L36" i="1"/>
  <c r="M36" i="1" s="1"/>
  <c r="L379" i="1"/>
  <c r="M379" i="1" s="1"/>
  <c r="L180" i="1"/>
  <c r="M180" i="1" s="1"/>
  <c r="L361" i="1"/>
  <c r="M361" i="1" s="1"/>
  <c r="L374" i="1"/>
  <c r="M374" i="1" s="1"/>
  <c r="L261" i="1"/>
  <c r="M261" i="1" s="1"/>
  <c r="L402" i="1"/>
  <c r="M402" i="1" s="1"/>
  <c r="L404" i="1"/>
  <c r="M404" i="1" s="1"/>
  <c r="L333" i="1"/>
  <c r="M333" i="1" s="1"/>
  <c r="L222" i="1"/>
  <c r="M222" i="1" s="1"/>
  <c r="L490" i="1"/>
  <c r="M490" i="1" s="1"/>
  <c r="L166" i="1"/>
  <c r="M166" i="1" s="1"/>
  <c r="L369" i="1"/>
  <c r="M369" i="1" s="1"/>
  <c r="L309" i="1"/>
  <c r="M309" i="1" s="1"/>
  <c r="L330" i="1"/>
  <c r="M330" i="1" s="1"/>
  <c r="L461" i="1"/>
  <c r="M461" i="1" s="1"/>
  <c r="L215" i="1"/>
  <c r="M215" i="1" s="1"/>
  <c r="L257" i="1"/>
  <c r="M257" i="1" s="1"/>
  <c r="L317" i="1"/>
  <c r="M317" i="1" s="1"/>
  <c r="L373" i="1"/>
  <c r="M373" i="1" s="1"/>
  <c r="L76" i="1"/>
  <c r="M76" i="1" s="1"/>
  <c r="L428" i="1"/>
  <c r="M428" i="1" s="1"/>
  <c r="L495" i="1"/>
  <c r="M495" i="1" s="1"/>
  <c r="L447" i="1"/>
  <c r="M447" i="1" s="1"/>
  <c r="L209" i="1"/>
  <c r="M209" i="1" s="1"/>
  <c r="L284" i="1"/>
  <c r="M284" i="1" s="1"/>
  <c r="L135" i="1"/>
  <c r="M135" i="1" s="1"/>
  <c r="L454" i="1"/>
  <c r="M454" i="1" s="1"/>
  <c r="L405" i="1"/>
  <c r="M405" i="1" s="1"/>
  <c r="L3" i="1"/>
  <c r="M3" i="1" s="1"/>
  <c r="L77" i="1"/>
  <c r="M77" i="1" s="1"/>
  <c r="L96" i="1"/>
  <c r="M96" i="1" s="1"/>
  <c r="L170" i="1"/>
  <c r="M170" i="1" s="1"/>
  <c r="L466" i="1"/>
  <c r="M466" i="1" s="1"/>
  <c r="L316" i="1"/>
  <c r="M316" i="1" s="1"/>
  <c r="L196" i="1"/>
  <c r="M196" i="1" s="1"/>
  <c r="L89" i="1"/>
  <c r="M89" i="1" s="1"/>
  <c r="L380" i="1"/>
  <c r="M380" i="1" s="1"/>
  <c r="L350" i="1"/>
  <c r="M350" i="1" s="1"/>
  <c r="L264" i="1"/>
  <c r="M264" i="1" s="1"/>
  <c r="L388" i="1"/>
  <c r="M388" i="1" s="1"/>
  <c r="L35" i="1"/>
  <c r="M35" i="1" s="1"/>
  <c r="L203" i="1"/>
  <c r="M203" i="1" s="1"/>
  <c r="L412" i="1"/>
  <c r="M412" i="1" s="1"/>
  <c r="L46" i="1"/>
  <c r="M46" i="1" s="1"/>
  <c r="L310" i="1"/>
  <c r="M310" i="1" s="1"/>
  <c r="L175" i="1"/>
  <c r="M175" i="1" s="1"/>
  <c r="L125" i="1"/>
  <c r="M125" i="1" s="1"/>
  <c r="L492" i="1"/>
  <c r="M492" i="1" s="1"/>
  <c r="L206" i="1"/>
  <c r="M206" i="1" s="1"/>
  <c r="L58" i="1"/>
  <c r="M58" i="1" s="1"/>
  <c r="L167" i="1"/>
  <c r="M167" i="1" s="1"/>
  <c r="L249" i="1"/>
  <c r="M249" i="1" s="1"/>
  <c r="L52" i="1"/>
  <c r="M52" i="1" s="1"/>
  <c r="L441" i="1"/>
  <c r="M441" i="1" s="1"/>
  <c r="L399" i="1"/>
  <c r="M399" i="1" s="1"/>
  <c r="L301" i="1"/>
  <c r="M301" i="1" s="1"/>
  <c r="L68" i="1"/>
  <c r="M68" i="1" s="1"/>
  <c r="L57" i="1"/>
  <c r="M57" i="1" s="1"/>
  <c r="L411" i="1"/>
  <c r="M411" i="1" s="1"/>
  <c r="L71" i="1"/>
  <c r="M71" i="1" s="1"/>
  <c r="L324" i="1"/>
  <c r="M324" i="1" s="1"/>
  <c r="L90" i="1"/>
  <c r="M90" i="1" s="1"/>
  <c r="L378" i="1"/>
  <c r="M378" i="1" s="1"/>
  <c r="L291" i="1"/>
  <c r="M291" i="1" s="1"/>
  <c r="L452" i="1"/>
  <c r="M452" i="1" s="1"/>
  <c r="L95" i="1"/>
  <c r="M95" i="1" s="1"/>
  <c r="L462" i="1"/>
  <c r="M462" i="1" s="1"/>
  <c r="L293" i="1"/>
  <c r="M293" i="1" s="1"/>
  <c r="L254" i="1"/>
  <c r="M254" i="1" s="1"/>
  <c r="L195" i="1"/>
  <c r="M195" i="1" s="1"/>
  <c r="L354" i="1"/>
  <c r="M354" i="1" s="1"/>
  <c r="L61" i="1"/>
  <c r="M61" i="1" s="1"/>
  <c r="L23" i="1"/>
  <c r="M23" i="1" s="1"/>
  <c r="L450" i="1"/>
  <c r="M450" i="1" s="1"/>
  <c r="L299" i="1"/>
  <c r="M299" i="1" s="1"/>
  <c r="L26" i="1"/>
  <c r="M26" i="1" s="1"/>
  <c r="L43" i="1"/>
  <c r="M43" i="1" s="1"/>
  <c r="L63" i="1"/>
  <c r="M63" i="1" s="1"/>
  <c r="L70" i="1"/>
  <c r="M70" i="1" s="1"/>
  <c r="L322" i="1"/>
  <c r="M322" i="1" s="1"/>
  <c r="L413" i="1"/>
  <c r="M413" i="1" s="1"/>
  <c r="L395" i="1"/>
  <c r="M395" i="1" s="1"/>
  <c r="L126" i="1"/>
  <c r="M126" i="1" s="1"/>
  <c r="L318" i="1"/>
  <c r="M318" i="1" s="1"/>
  <c r="L20" i="1"/>
  <c r="M20" i="1" s="1"/>
  <c r="L64" i="1"/>
  <c r="M64" i="1" s="1"/>
  <c r="L235" i="1"/>
  <c r="M235" i="1" s="1"/>
  <c r="L390" i="1"/>
  <c r="M390" i="1" s="1"/>
  <c r="L225" i="1"/>
  <c r="M225" i="1" s="1"/>
  <c r="L282" i="1"/>
  <c r="M282" i="1" s="1"/>
  <c r="L342" i="1"/>
  <c r="M342" i="1" s="1"/>
  <c r="L93" i="1"/>
  <c r="M93" i="1" s="1"/>
  <c r="L397" i="1"/>
  <c r="M397" i="1" s="1"/>
  <c r="L260" i="1"/>
  <c r="M260" i="1" s="1"/>
  <c r="L109" i="1"/>
  <c r="M109" i="1" s="1"/>
  <c r="L72" i="1"/>
  <c r="M72" i="1" s="1"/>
  <c r="L99" i="1"/>
  <c r="M99" i="1" s="1"/>
  <c r="L40" i="1"/>
  <c r="M40" i="1" s="1"/>
  <c r="L37" i="1"/>
  <c r="M37" i="1" s="1"/>
  <c r="L230" i="1"/>
  <c r="M230" i="1" s="1"/>
  <c r="L273" i="1"/>
  <c r="M273" i="1" s="1"/>
  <c r="L237" i="1"/>
  <c r="M237" i="1" s="1"/>
  <c r="L30" i="1"/>
  <c r="M30" i="1" s="1"/>
  <c r="L164" i="1"/>
  <c r="M164" i="1" s="1"/>
  <c r="L8" i="1"/>
  <c r="M8" i="1" s="1"/>
  <c r="L45" i="1"/>
  <c r="M45" i="1" s="1"/>
  <c r="L251" i="1"/>
  <c r="M251" i="1" s="1"/>
  <c r="L263" i="1"/>
  <c r="M263" i="1" s="1"/>
  <c r="L416" i="1"/>
  <c r="M416" i="1" s="1"/>
  <c r="L153" i="1"/>
  <c r="M153" i="1" s="1"/>
  <c r="L174" i="1"/>
  <c r="M174" i="1" s="1"/>
  <c r="L186" i="1"/>
  <c r="M186" i="1" s="1"/>
  <c r="L241" i="1"/>
  <c r="M241" i="1" s="1"/>
  <c r="L432" i="1"/>
  <c r="M432" i="1" s="1"/>
  <c r="L108" i="1"/>
  <c r="M108" i="1" s="1"/>
  <c r="L285" i="1"/>
  <c r="M285" i="1" s="1"/>
  <c r="L325" i="1"/>
  <c r="M325" i="1" s="1"/>
  <c r="L152" i="1"/>
  <c r="M152" i="1" s="1"/>
  <c r="L279" i="1"/>
  <c r="M279" i="1" s="1"/>
  <c r="L253" i="1"/>
  <c r="M253" i="1" s="1"/>
  <c r="L488" i="1"/>
  <c r="M488" i="1" s="1"/>
  <c r="L133" i="1"/>
  <c r="M133" i="1" s="1"/>
  <c r="L359" i="1"/>
  <c r="M359" i="1" s="1"/>
  <c r="L181" i="1"/>
  <c r="M181" i="1" s="1"/>
  <c r="L38" i="1"/>
  <c r="M38" i="1" s="1"/>
  <c r="L277" i="1"/>
  <c r="M277" i="1" s="1"/>
  <c r="L464" i="1"/>
  <c r="M464" i="1" s="1"/>
  <c r="L424" i="1"/>
  <c r="M424" i="1" s="1"/>
  <c r="L348" i="1"/>
  <c r="M348" i="1" s="1"/>
  <c r="L476" i="1"/>
  <c r="M476" i="1" s="1"/>
  <c r="L370" i="1"/>
  <c r="M370" i="1" s="1"/>
  <c r="L82" i="1"/>
  <c r="M82" i="1" s="1"/>
  <c r="L272" i="1"/>
  <c r="M272" i="1" s="1"/>
  <c r="L100" i="1"/>
  <c r="M100" i="1" s="1"/>
  <c r="L292" i="1"/>
  <c r="M292" i="1" s="1"/>
  <c r="L114" i="1"/>
  <c r="M114" i="1" s="1"/>
  <c r="L485" i="1"/>
  <c r="M485" i="1" s="1"/>
  <c r="L13" i="1"/>
  <c r="M13" i="1" s="1"/>
  <c r="L101" i="1"/>
  <c r="M101" i="1" s="1"/>
  <c r="L418" i="1"/>
  <c r="M418" i="1" s="1"/>
  <c r="L44" i="1"/>
  <c r="M44" i="1" s="1"/>
  <c r="L110" i="1"/>
  <c r="M110" i="1" s="1"/>
  <c r="L269" i="1"/>
  <c r="M269" i="1" s="1"/>
  <c r="L289" i="1"/>
  <c r="M289" i="1" s="1"/>
  <c r="L214" i="1"/>
  <c r="M214" i="1" s="1"/>
  <c r="L211" i="1"/>
  <c r="M211" i="1" s="1"/>
  <c r="L442" i="1"/>
  <c r="M442" i="1" s="1"/>
  <c r="L73" i="1"/>
  <c r="M73" i="1" s="1"/>
  <c r="L493" i="1"/>
  <c r="M493" i="1" s="1"/>
  <c r="L420" i="1"/>
  <c r="M420" i="1" s="1"/>
  <c r="L426" i="1"/>
  <c r="M426" i="1" s="1"/>
  <c r="L385" i="1"/>
  <c r="M385" i="1" s="1"/>
  <c r="L178" i="1"/>
  <c r="M178" i="1" s="1"/>
  <c r="L351" i="1"/>
  <c r="M351" i="1" s="1"/>
  <c r="L281" i="1"/>
  <c r="M281" i="1" s="1"/>
  <c r="L75" i="1"/>
  <c r="M75" i="1" s="1"/>
  <c r="L467" i="1"/>
  <c r="M467" i="1" s="1"/>
  <c r="L216" i="1"/>
  <c r="M216" i="1" s="1"/>
  <c r="L47" i="1"/>
  <c r="M47" i="1" s="1"/>
  <c r="L367" i="1"/>
  <c r="M367" i="1" s="1"/>
  <c r="L346" i="1"/>
  <c r="M346" i="1" s="1"/>
  <c r="L274" i="1"/>
  <c r="M274" i="1" s="1"/>
  <c r="L259" i="1"/>
  <c r="M259" i="1" s="1"/>
  <c r="L145" i="1"/>
  <c r="M145" i="1" s="1"/>
  <c r="L243" i="1"/>
  <c r="M243" i="1" s="1"/>
  <c r="L415" i="1"/>
  <c r="M415" i="1" s="1"/>
  <c r="L300" i="1"/>
  <c r="M300" i="1" s="1"/>
  <c r="L477" i="1"/>
  <c r="M477" i="1" s="1"/>
  <c r="L79" i="1"/>
  <c r="M79" i="1" s="1"/>
  <c r="L169" i="1"/>
  <c r="M169" i="1" s="1"/>
  <c r="L479" i="1"/>
  <c r="M479" i="1" s="1"/>
  <c r="L356" i="1"/>
  <c r="M356" i="1" s="1"/>
  <c r="L17" i="1"/>
  <c r="M17" i="1" s="1"/>
  <c r="L83" i="1"/>
  <c r="M83" i="1" s="1"/>
  <c r="L51" i="1"/>
  <c r="M51" i="1" s="1"/>
  <c r="L247" i="1"/>
  <c r="M247" i="1" s="1"/>
  <c r="L344" i="1"/>
  <c r="M344" i="1" s="1"/>
  <c r="L177" i="1"/>
  <c r="M177" i="1" s="1"/>
  <c r="L187" i="1"/>
  <c r="M187" i="1" s="1"/>
  <c r="L163" i="1"/>
  <c r="M163" i="1" s="1"/>
  <c r="L81" i="1"/>
  <c r="M81" i="1" s="1"/>
  <c r="L182" i="1"/>
  <c r="M182" i="1" s="1"/>
  <c r="L328" i="1"/>
  <c r="M328" i="1" s="1"/>
  <c r="L429" i="1"/>
  <c r="M429" i="1" s="1"/>
  <c r="L201" i="1"/>
  <c r="M201" i="1" s="1"/>
  <c r="L161" i="1"/>
  <c r="M161" i="1" s="1"/>
  <c r="L371" i="1"/>
  <c r="M371" i="1" s="1"/>
  <c r="L234" i="1"/>
  <c r="M234" i="1" s="1"/>
  <c r="L87" i="1"/>
  <c r="M87" i="1" s="1"/>
  <c r="L122" i="1"/>
  <c r="M122" i="1" s="1"/>
  <c r="L336" i="1"/>
  <c r="M336" i="1" s="1"/>
  <c r="L489" i="1"/>
  <c r="M489" i="1" s="1"/>
  <c r="L433" i="1"/>
  <c r="M433" i="1" s="1"/>
  <c r="L210" i="1"/>
  <c r="M210" i="1" s="1"/>
  <c r="L10" i="1"/>
  <c r="M10" i="1" s="1"/>
  <c r="L98" i="1"/>
  <c r="M98" i="1" s="1"/>
  <c r="L270" i="1"/>
  <c r="M270" i="1" s="1"/>
  <c r="L474" i="1"/>
  <c r="M474" i="1" s="1"/>
  <c r="L66" i="1"/>
  <c r="M66" i="1" s="1"/>
</calcChain>
</file>

<file path=xl/sharedStrings.xml><?xml version="1.0" encoding="utf-8"?>
<sst xmlns="http://schemas.openxmlformats.org/spreadsheetml/2006/main" count="1013" uniqueCount="491">
  <si>
    <t>Employee_Name</t>
  </si>
  <si>
    <t>City</t>
  </si>
  <si>
    <t>Hourly_Pay_EUR</t>
  </si>
  <si>
    <t>Hours_Worked_Per_Week</t>
  </si>
  <si>
    <t>Padraig Connolly</t>
  </si>
  <si>
    <t>Dublin</t>
  </si>
  <si>
    <t>Grainne Reilly</t>
  </si>
  <si>
    <t>Newbridge</t>
  </si>
  <si>
    <t>Brigid Ryan</t>
  </si>
  <si>
    <t>Waterford</t>
  </si>
  <si>
    <t>Ultan O'Neill</t>
  </si>
  <si>
    <t>Finglas</t>
  </si>
  <si>
    <t>Aoife Whelan</t>
  </si>
  <si>
    <t>Mullingar</t>
  </si>
  <si>
    <t>Nuala Whelan</t>
  </si>
  <si>
    <t>Dundalk</t>
  </si>
  <si>
    <t>Winnie O'Donnell</t>
  </si>
  <si>
    <t>Swords</t>
  </si>
  <si>
    <t>Zara Ryan</t>
  </si>
  <si>
    <t>Naas</t>
  </si>
  <si>
    <t>Liam Brady</t>
  </si>
  <si>
    <t>Celbridge</t>
  </si>
  <si>
    <t>Fiona Kennedy</t>
  </si>
  <si>
    <t>Blanchardstown</t>
  </si>
  <si>
    <t>Yvonne O'Connor</t>
  </si>
  <si>
    <t>Navan</t>
  </si>
  <si>
    <t>Sean O'Neill</t>
  </si>
  <si>
    <t>Cork</t>
  </si>
  <si>
    <t>Kathleen Griffin</t>
  </si>
  <si>
    <t>Ennis</t>
  </si>
  <si>
    <t>Una Sullivan</t>
  </si>
  <si>
    <t>Erin Duffy</t>
  </si>
  <si>
    <t>Athlone</t>
  </si>
  <si>
    <t>Quinn Hogan</t>
  </si>
  <si>
    <t>Pippa Tobin</t>
  </si>
  <si>
    <t>Malachi Cullen</t>
  </si>
  <si>
    <t>Deirdre Connolly</t>
  </si>
  <si>
    <t>Galway</t>
  </si>
  <si>
    <t>Erin McCarthy</t>
  </si>
  <si>
    <t>Aoife Reilly</t>
  </si>
  <si>
    <t>Yancy O'Neill</t>
  </si>
  <si>
    <t>Vaughn Tierney</t>
  </si>
  <si>
    <t>Grainne O'Leary</t>
  </si>
  <si>
    <t>Drogheda</t>
  </si>
  <si>
    <t>Yvonne Whelan</t>
  </si>
  <si>
    <t>Gabhain Murphy</t>
  </si>
  <si>
    <t>Dun Laoghaire</t>
  </si>
  <si>
    <t>Tara Doherty</t>
  </si>
  <si>
    <t>Gabhain Walsh</t>
  </si>
  <si>
    <t>Leixlip</t>
  </si>
  <si>
    <t>Fionn Loughlin</t>
  </si>
  <si>
    <t>Nuala Kinsella</t>
  </si>
  <si>
    <t>Ronan O'Neill</t>
  </si>
  <si>
    <t>Erin Healy</t>
  </si>
  <si>
    <t>Erin Sweeney</t>
  </si>
  <si>
    <t>Carlow</t>
  </si>
  <si>
    <t>Valerie Walsh</t>
  </si>
  <si>
    <t>Kilkenny</t>
  </si>
  <si>
    <t>Iona Tierney</t>
  </si>
  <si>
    <t>Malahide</t>
  </si>
  <si>
    <t>Fionn Farrell</t>
  </si>
  <si>
    <t>Tallaght</t>
  </si>
  <si>
    <t>Brendan Griffin</t>
  </si>
  <si>
    <t>Grainne Sullivan</t>
  </si>
  <si>
    <t>Maura Brady</t>
  </si>
  <si>
    <t>Pippa Walsh</t>
  </si>
  <si>
    <t>Tralee</t>
  </si>
  <si>
    <t>Jarrett O'Brien</t>
  </si>
  <si>
    <t>Nuala Cullen</t>
  </si>
  <si>
    <t>Quinn Griffin</t>
  </si>
  <si>
    <t>Kevin Phelan</t>
  </si>
  <si>
    <t>Deirdre Moynihan</t>
  </si>
  <si>
    <t>Malachi Halloran</t>
  </si>
  <si>
    <t>Sandyford</t>
  </si>
  <si>
    <t>Fiona Gallagher</t>
  </si>
  <si>
    <t>Hannah Malone</t>
  </si>
  <si>
    <t>Ronan Moynihan</t>
  </si>
  <si>
    <t>Ultan Brennan</t>
  </si>
  <si>
    <t>Eamon Brennan</t>
  </si>
  <si>
    <t>Liam Doyle</t>
  </si>
  <si>
    <t>Winnie Walsh</t>
  </si>
  <si>
    <t>Jarrett Sweeney</t>
  </si>
  <si>
    <t>Kevin Flaherty</t>
  </si>
  <si>
    <t>Hannah Doyle</t>
  </si>
  <si>
    <t>Ultan Healy</t>
  </si>
  <si>
    <t>Quinn Sullivan</t>
  </si>
  <si>
    <t>Valerie Mahoney</t>
  </si>
  <si>
    <t>Ultan Fitzpatrick</t>
  </si>
  <si>
    <t>Juliet Kinsella</t>
  </si>
  <si>
    <t>Iona Kelly</t>
  </si>
  <si>
    <t>Pippa Phelan</t>
  </si>
  <si>
    <t>Owen Tobin</t>
  </si>
  <si>
    <t>Lara Farrell</t>
  </si>
  <si>
    <t>Brendan Phelan</t>
  </si>
  <si>
    <t>Grainne McCarthy</t>
  </si>
  <si>
    <t>Eamon Boyle</t>
  </si>
  <si>
    <t>Aidan Healy</t>
  </si>
  <si>
    <t>Quinn Hourihan</t>
  </si>
  <si>
    <t>Quinn Gallagher</t>
  </si>
  <si>
    <t>Sligo</t>
  </si>
  <si>
    <t>Winnie Tierney</t>
  </si>
  <si>
    <t>Clonmel</t>
  </si>
  <si>
    <t>Zara Malone</t>
  </si>
  <si>
    <t>Jarrett Reilly</t>
  </si>
  <si>
    <t>Cormac Walsh</t>
  </si>
  <si>
    <t>Hannah Tierney</t>
  </si>
  <si>
    <t>Aidan Roche</t>
  </si>
  <si>
    <t>Zara Reilly</t>
  </si>
  <si>
    <t>Kevin O'Brien</t>
  </si>
  <si>
    <t>Quinn Brennan</t>
  </si>
  <si>
    <t>Zane Tobin</t>
  </si>
  <si>
    <t>Owen Healy</t>
  </si>
  <si>
    <t>Maura Lynch</t>
  </si>
  <si>
    <t>Yancy Walsh</t>
  </si>
  <si>
    <t>Zara Hogan</t>
  </si>
  <si>
    <t>Xavier Doyle</t>
  </si>
  <si>
    <t>Ian Griffin</t>
  </si>
  <si>
    <t>Iona Griffin</t>
  </si>
  <si>
    <t>Declan O'Grady</t>
  </si>
  <si>
    <t>Declan O'Connor</t>
  </si>
  <si>
    <t>Padraig Rourke</t>
  </si>
  <si>
    <t>Declan Walsh</t>
  </si>
  <si>
    <t>Jarrett Ryan</t>
  </si>
  <si>
    <t>Limerick</t>
  </si>
  <si>
    <t>Nuala Walsh</t>
  </si>
  <si>
    <t>Balbriggan</t>
  </si>
  <si>
    <t>Nuala Farrell</t>
  </si>
  <si>
    <t>Xavier Malone</t>
  </si>
  <si>
    <t>Zara Farrell</t>
  </si>
  <si>
    <t>Orla Hogan</t>
  </si>
  <si>
    <t>Ronan Reilly</t>
  </si>
  <si>
    <t>Iona O'Grady</t>
  </si>
  <si>
    <t>Fiona O'Neill</t>
  </si>
  <si>
    <t>Una Duffy</t>
  </si>
  <si>
    <t>Xavier Farrell</t>
  </si>
  <si>
    <t>Deirdre Boyle</t>
  </si>
  <si>
    <t>Xavier Murphy</t>
  </si>
  <si>
    <t>Pippa Mahoney</t>
  </si>
  <si>
    <t>Tadhg Nolan</t>
  </si>
  <si>
    <t>Ultan Connolly</t>
  </si>
  <si>
    <t>Brigid Flaherty</t>
  </si>
  <si>
    <t>Erin Moynihan</t>
  </si>
  <si>
    <t>Tara Reilly</t>
  </si>
  <si>
    <t>Caitlin Boyle</t>
  </si>
  <si>
    <t>Valerie O'Brien</t>
  </si>
  <si>
    <t>Letterkenny</t>
  </si>
  <si>
    <t>Padraig Griffin</t>
  </si>
  <si>
    <t>Quinn Rourke</t>
  </si>
  <si>
    <t>Vaughn Moynihan</t>
  </si>
  <si>
    <t>Declan Doherty</t>
  </si>
  <si>
    <t>Brigid Hogan</t>
  </si>
  <si>
    <t>Quinn Healy</t>
  </si>
  <si>
    <t>Aoife Keegan</t>
  </si>
  <si>
    <t>Kevin Whelan</t>
  </si>
  <si>
    <t>Zane Murphy</t>
  </si>
  <si>
    <t>William Loughlin</t>
  </si>
  <si>
    <t>Orla Connolly</t>
  </si>
  <si>
    <t>Xavier Roche</t>
  </si>
  <si>
    <t>Malachi Whelan</t>
  </si>
  <si>
    <t>Siobhan Kennedy</t>
  </si>
  <si>
    <t>Roisin Kelly</t>
  </si>
  <si>
    <t>Padraig Whelan</t>
  </si>
  <si>
    <t>Declan Healy</t>
  </si>
  <si>
    <t>Hannah Walsh</t>
  </si>
  <si>
    <t>Juliet Lynch</t>
  </si>
  <si>
    <t>Ian McCarthy</t>
  </si>
  <si>
    <t>Cormac Flaherty</t>
  </si>
  <si>
    <t>Xavier Duffy</t>
  </si>
  <si>
    <t>Lara Loughlin</t>
  </si>
  <si>
    <t>Fionn Quinn</t>
  </si>
  <si>
    <t>Eamon Walsh</t>
  </si>
  <si>
    <t>Ronan Brady</t>
  </si>
  <si>
    <t>Roisin Lynch</t>
  </si>
  <si>
    <t>Liam Quinn</t>
  </si>
  <si>
    <t>Roisin Hourihan</t>
  </si>
  <si>
    <t>Cormac Tobin</t>
  </si>
  <si>
    <t>Sean Malone</t>
  </si>
  <si>
    <t>Roisin Malone</t>
  </si>
  <si>
    <t>Roisin Gallagher</t>
  </si>
  <si>
    <t>Fiona Halloran</t>
  </si>
  <si>
    <t>Kathleen Healy</t>
  </si>
  <si>
    <t>Xavier Loughlin</t>
  </si>
  <si>
    <t>Yancy Cullen</t>
  </si>
  <si>
    <t>Brendan Sullivan</t>
  </si>
  <si>
    <t>Declan Whelan</t>
  </si>
  <si>
    <t>Declan Roche</t>
  </si>
  <si>
    <t>Pippa Sweeney</t>
  </si>
  <si>
    <t>Ultan Quinn</t>
  </si>
  <si>
    <t>Fionn Doherty</t>
  </si>
  <si>
    <t>Hugh Tobin</t>
  </si>
  <si>
    <t>Brendan Healy</t>
  </si>
  <si>
    <t>Vaughn Flaherty</t>
  </si>
  <si>
    <t>Juliet Gorman</t>
  </si>
  <si>
    <t>Zara Griffin</t>
  </si>
  <si>
    <t>Zara Kennedy</t>
  </si>
  <si>
    <t>Ultan McCarthy</t>
  </si>
  <si>
    <t>Juliet Hogan</t>
  </si>
  <si>
    <t>Grainne Gorman</t>
  </si>
  <si>
    <t>Quinn Lynch</t>
  </si>
  <si>
    <t>Quinn Ryan</t>
  </si>
  <si>
    <t>Una O'Leary</t>
  </si>
  <si>
    <t>Erin Doherty</t>
  </si>
  <si>
    <t>Cormac Doyle</t>
  </si>
  <si>
    <t>Tadhg Flaherty</t>
  </si>
  <si>
    <t>Winnie Joyce</t>
  </si>
  <si>
    <t>Zane Gallagher</t>
  </si>
  <si>
    <t>Sean Doherty</t>
  </si>
  <si>
    <t>Siobhan Reilly</t>
  </si>
  <si>
    <t>Malachi Flaherty</t>
  </si>
  <si>
    <t>Wexford</t>
  </si>
  <si>
    <t>Tara Brady</t>
  </si>
  <si>
    <t>Winnie Malone</t>
  </si>
  <si>
    <t>Ronan Cullen</t>
  </si>
  <si>
    <t>Deirdre O'Donnell</t>
  </si>
  <si>
    <t>Winnie Kennedy</t>
  </si>
  <si>
    <t>Yancy Phelan</t>
  </si>
  <si>
    <t>Quinn Kelly</t>
  </si>
  <si>
    <t>Iona Ryan</t>
  </si>
  <si>
    <t>Iona Kinsella</t>
  </si>
  <si>
    <t>Kathleen Nolan</t>
  </si>
  <si>
    <t>Valerie Connolly</t>
  </si>
  <si>
    <t>Sean Tierney</t>
  </si>
  <si>
    <t>Yvonne Ryan</t>
  </si>
  <si>
    <t>Yvonne Reilly</t>
  </si>
  <si>
    <t>Yvonne Doyle</t>
  </si>
  <si>
    <t>Kevin Brennan</t>
  </si>
  <si>
    <t>Eamon Roche</t>
  </si>
  <si>
    <t>Caitlin Flaherty</t>
  </si>
  <si>
    <t>Iona McCarthy</t>
  </si>
  <si>
    <t>Jarrett Farrell</t>
  </si>
  <si>
    <t>Grainne Hogan</t>
  </si>
  <si>
    <t>Declan Gorman</t>
  </si>
  <si>
    <t>Jarrett O'Neill</t>
  </si>
  <si>
    <t>Eamon Ryan</t>
  </si>
  <si>
    <t>Deirdre Healy</t>
  </si>
  <si>
    <t>Yancy Lynch</t>
  </si>
  <si>
    <t>Juliet Mahoney</t>
  </si>
  <si>
    <t>Iona O'Brien</t>
  </si>
  <si>
    <t>Fionn Gorman</t>
  </si>
  <si>
    <t>Orla O'Grady</t>
  </si>
  <si>
    <t>Brigid Sullivan</t>
  </si>
  <si>
    <t>Ultan Gorman</t>
  </si>
  <si>
    <t>Iona Rourke</t>
  </si>
  <si>
    <t>Niall Keegan</t>
  </si>
  <si>
    <t>Tadhg Connolly</t>
  </si>
  <si>
    <t>Nuala Fitzpatrick</t>
  </si>
  <si>
    <t>Aidan Farrell</t>
  </si>
  <si>
    <t>Yvonne Lynch</t>
  </si>
  <si>
    <t>Fiona Fitzpatrick</t>
  </si>
  <si>
    <t>Winnie Phelan</t>
  </si>
  <si>
    <t>Siobhan O'Donnell</t>
  </si>
  <si>
    <t>Ronan Halloran</t>
  </si>
  <si>
    <t>Hannah Whelan</t>
  </si>
  <si>
    <t>Yancy O'Grady</t>
  </si>
  <si>
    <t>Ronan Roche</t>
  </si>
  <si>
    <t>Valerie Boyle</t>
  </si>
  <si>
    <t>Juliet Tobin</t>
  </si>
  <si>
    <t>Yancy Malone</t>
  </si>
  <si>
    <t>Deirdre Reilly</t>
  </si>
  <si>
    <t>Declan Farrell</t>
  </si>
  <si>
    <t>Orla Cullen</t>
  </si>
  <si>
    <t>Nuala Mahoney</t>
  </si>
  <si>
    <t>William Fitzpatrick</t>
  </si>
  <si>
    <t>Cormac Murphy</t>
  </si>
  <si>
    <t>Liam Cullen</t>
  </si>
  <si>
    <t>Una O'Connor</t>
  </si>
  <si>
    <t>Ian Ryan</t>
  </si>
  <si>
    <t>Yancy O'Connor</t>
  </si>
  <si>
    <t>Yancy Boyle</t>
  </si>
  <si>
    <t>Juliet Nolan</t>
  </si>
  <si>
    <t>Erin Gallagher</t>
  </si>
  <si>
    <t>Xavier Moynihan</t>
  </si>
  <si>
    <t>Tara Rourke</t>
  </si>
  <si>
    <t>Declan Kelly</t>
  </si>
  <si>
    <t>Fiona O'Grady</t>
  </si>
  <si>
    <t>Maura Brennan</t>
  </si>
  <si>
    <t>Grainne Healy</t>
  </si>
  <si>
    <t>Yvonne Joyce</t>
  </si>
  <si>
    <t>Niall Sullivan</t>
  </si>
  <si>
    <t>Kevin Reilly</t>
  </si>
  <si>
    <t>Niall Lynch</t>
  </si>
  <si>
    <t>Tara O'Neill</t>
  </si>
  <si>
    <t>Fiona Flaherty</t>
  </si>
  <si>
    <t>Lara Duffy</t>
  </si>
  <si>
    <t>Juliet Walsh</t>
  </si>
  <si>
    <t>William Keegan</t>
  </si>
  <si>
    <t>Niall McCarthy</t>
  </si>
  <si>
    <t>Kathleen Tierney</t>
  </si>
  <si>
    <t>Pippa Flaherty</t>
  </si>
  <si>
    <t>Hugh Keegan</t>
  </si>
  <si>
    <t>Iona Nolan</t>
  </si>
  <si>
    <t>Grainne Sweeney</t>
  </si>
  <si>
    <t>Roisin Gorman</t>
  </si>
  <si>
    <t>Orla Gorman</t>
  </si>
  <si>
    <t>Yvonne Doherty</t>
  </si>
  <si>
    <t>Fionn Roche</t>
  </si>
  <si>
    <t>Fiona Murphy</t>
  </si>
  <si>
    <t>Ian Fitzpatrick</t>
  </si>
  <si>
    <t>Pippa Farrell</t>
  </si>
  <si>
    <t>Gabhain O'Donnell</t>
  </si>
  <si>
    <t>Juliet Quinn</t>
  </si>
  <si>
    <t>Lara Phelan</t>
  </si>
  <si>
    <t>Ian Kinsella</t>
  </si>
  <si>
    <t>Fionn Kelly</t>
  </si>
  <si>
    <t>Zane Walsh</t>
  </si>
  <si>
    <t>Malachi Tobin</t>
  </si>
  <si>
    <t>Padraig Gallagher</t>
  </si>
  <si>
    <t>Caitlin Quinn</t>
  </si>
  <si>
    <t>Tara Hourihan</t>
  </si>
  <si>
    <t>Quinn Brady</t>
  </si>
  <si>
    <t>Hannah Joyce</t>
  </si>
  <si>
    <t>Zara Healy</t>
  </si>
  <si>
    <t>Ian Rourke</t>
  </si>
  <si>
    <t>Lara Kinsella</t>
  </si>
  <si>
    <t>Tara Gorman</t>
  </si>
  <si>
    <t>Padraig Sullivan</t>
  </si>
  <si>
    <t>William Reilly</t>
  </si>
  <si>
    <t>Zane Gorman</t>
  </si>
  <si>
    <t>Yvonne McCarthy</t>
  </si>
  <si>
    <t>Aidan Brennan</t>
  </si>
  <si>
    <t>Lara Hogan</t>
  </si>
  <si>
    <t>Gabhain Brady</t>
  </si>
  <si>
    <t>Declan Ryan</t>
  </si>
  <si>
    <t>Kevin Kinsella</t>
  </si>
  <si>
    <t>Tadhg O'Leary</t>
  </si>
  <si>
    <t>Maura Mahoney</t>
  </si>
  <si>
    <t>Yvonne Griffin</t>
  </si>
  <si>
    <t>Erin Flaherty</t>
  </si>
  <si>
    <t>Yancy Farrell</t>
  </si>
  <si>
    <t>Erin Gorman</t>
  </si>
  <si>
    <t>Yancy Loughlin</t>
  </si>
  <si>
    <t>Hugh Sullivan</t>
  </si>
  <si>
    <t>Una Sweeney</t>
  </si>
  <si>
    <t>Owen Kinsella</t>
  </si>
  <si>
    <t>Juliet O'Connor</t>
  </si>
  <si>
    <t>Liam Kelly</t>
  </si>
  <si>
    <t>Padraig Murphy</t>
  </si>
  <si>
    <t>Tara Halloran</t>
  </si>
  <si>
    <t>Tadhg Sullivan</t>
  </si>
  <si>
    <t>Winnie Cullen</t>
  </si>
  <si>
    <t>Pippa Griffin</t>
  </si>
  <si>
    <t>Siobhan McCarthy</t>
  </si>
  <si>
    <t>Kathleen Brennan</t>
  </si>
  <si>
    <t>Gabhain Hourihan</t>
  </si>
  <si>
    <t>Aidan Hourihan</t>
  </si>
  <si>
    <t>Deirdre Quinn</t>
  </si>
  <si>
    <t>Aoife Doyle</t>
  </si>
  <si>
    <t>Yvonne Kelly</t>
  </si>
  <si>
    <t>Siobhan Walsh</t>
  </si>
  <si>
    <t>Owen Reilly</t>
  </si>
  <si>
    <t>Zane Healy</t>
  </si>
  <si>
    <t>Hugh Cullen</t>
  </si>
  <si>
    <t>Fionn Keegan</t>
  </si>
  <si>
    <t>Owen Brennan</t>
  </si>
  <si>
    <t>Valerie Hourihan</t>
  </si>
  <si>
    <t>Fionn Murphy</t>
  </si>
  <si>
    <t>Tara Tierney</t>
  </si>
  <si>
    <t>Quinn Moynihan</t>
  </si>
  <si>
    <t>Ian O'Leary</t>
  </si>
  <si>
    <t>Caitlin Malone</t>
  </si>
  <si>
    <t>Brendan Lynch</t>
  </si>
  <si>
    <t>Fionn Tobin</t>
  </si>
  <si>
    <t>Una Phelan</t>
  </si>
  <si>
    <t>Jarrett Healy</t>
  </si>
  <si>
    <t>Quinn Roche</t>
  </si>
  <si>
    <t>Tadhg Sweeney</t>
  </si>
  <si>
    <t>Zane Tierney</t>
  </si>
  <si>
    <t>Aidan Boyle</t>
  </si>
  <si>
    <t>Ultan Ryan</t>
  </si>
  <si>
    <t>Nuala Brady</t>
  </si>
  <si>
    <t>Iona Doyle</t>
  </si>
  <si>
    <t>Ian Kennedy</t>
  </si>
  <si>
    <t>Fionn Doyle</t>
  </si>
  <si>
    <t>Kathleen Farrell</t>
  </si>
  <si>
    <t>Siobhan Brennan</t>
  </si>
  <si>
    <t>Liam Kennedy</t>
  </si>
  <si>
    <t>Aidan Hogan</t>
  </si>
  <si>
    <t>Caitlin O'Brien</t>
  </si>
  <si>
    <t>Siobhan Griffin</t>
  </si>
  <si>
    <t>Iona Hourihan</t>
  </si>
  <si>
    <t>Vaughn Griffin</t>
  </si>
  <si>
    <t>Zane Quinn</t>
  </si>
  <si>
    <t>Aidan Fitzpatrick</t>
  </si>
  <si>
    <t>Iona Halloran</t>
  </si>
  <si>
    <t>Aoife Nolan</t>
  </si>
  <si>
    <t>Eamon Flaherty</t>
  </si>
  <si>
    <t>Ultan Flaherty</t>
  </si>
  <si>
    <t>Owen Kennedy</t>
  </si>
  <si>
    <t>Niall Joyce</t>
  </si>
  <si>
    <t>Ronan Duffy</t>
  </si>
  <si>
    <t>Fiona Keegan</t>
  </si>
  <si>
    <t>Hannah Sullivan</t>
  </si>
  <si>
    <t>Malachi Hogan</t>
  </si>
  <si>
    <t>Malachi Walsh</t>
  </si>
  <si>
    <t>Deirdre Walsh</t>
  </si>
  <si>
    <t>Yancy Mahoney</t>
  </si>
  <si>
    <t>Zara Gorman</t>
  </si>
  <si>
    <t>Ronan Kinsella</t>
  </si>
  <si>
    <t>Aidan Keegan</t>
  </si>
  <si>
    <t>Tara Griffin</t>
  </si>
  <si>
    <t>Orla Doherty</t>
  </si>
  <si>
    <t>Vaughn Whelan</t>
  </si>
  <si>
    <t>Brigid Doherty</t>
  </si>
  <si>
    <t>Sean Sweeney</t>
  </si>
  <si>
    <t>Orla Kinsella</t>
  </si>
  <si>
    <t>Orla Tierney</t>
  </si>
  <si>
    <t>Una Doherty</t>
  </si>
  <si>
    <t>Brendan Flaherty</t>
  </si>
  <si>
    <t>Lara O'Leary</t>
  </si>
  <si>
    <t>Quinn Phelan</t>
  </si>
  <si>
    <t>Juliet Flaherty</t>
  </si>
  <si>
    <t>Tara Sweeney</t>
  </si>
  <si>
    <t>Brendan Loughlin</t>
  </si>
  <si>
    <t>Maura Sullivan</t>
  </si>
  <si>
    <t>Erin Brady</t>
  </si>
  <si>
    <t>Fionn Duffy</t>
  </si>
  <si>
    <t>Pippa Roche</t>
  </si>
  <si>
    <t>Una Quinn</t>
  </si>
  <si>
    <t>Yvonne Hourihan</t>
  </si>
  <si>
    <t>Fionn Whelan</t>
  </si>
  <si>
    <t>Malachi Tierney</t>
  </si>
  <si>
    <t>Liam Doherty</t>
  </si>
  <si>
    <t>Xavier Hogan</t>
  </si>
  <si>
    <t>Vaughn Boyle</t>
  </si>
  <si>
    <t>Ronan Sullivan</t>
  </si>
  <si>
    <t>Owen O'Leary</t>
  </si>
  <si>
    <t>Brigid O'Brien</t>
  </si>
  <si>
    <t>Roisin Kinsella</t>
  </si>
  <si>
    <t>Cormac Gallagher</t>
  </si>
  <si>
    <t>Owen Keegan</t>
  </si>
  <si>
    <t>Yvonne Cullen</t>
  </si>
  <si>
    <t>Sean Ryan</t>
  </si>
  <si>
    <t>Zara McCarthy</t>
  </si>
  <si>
    <t>Fiona Hogan</t>
  </si>
  <si>
    <t>Grainne Keegan</t>
  </si>
  <si>
    <t>Liam Halloran</t>
  </si>
  <si>
    <t>Jarrett Malone</t>
  </si>
  <si>
    <t>Nuala Moynihan</t>
  </si>
  <si>
    <t>Tara O'Connor</t>
  </si>
  <si>
    <t>Vaughn Ryan</t>
  </si>
  <si>
    <t>Yancy Brennan</t>
  </si>
  <si>
    <t>Orla Boyle</t>
  </si>
  <si>
    <t>Ronan McCarthy</t>
  </si>
  <si>
    <t>Erin Ryan</t>
  </si>
  <si>
    <t>William McCarthy</t>
  </si>
  <si>
    <t>Declan Joyce</t>
  </si>
  <si>
    <t>Declan Loughlin</t>
  </si>
  <si>
    <t>Kevin Ryan</t>
  </si>
  <si>
    <t>Brendan McCarthy</t>
  </si>
  <si>
    <t>Pippa Malone</t>
  </si>
  <si>
    <t>Padraig Hogan</t>
  </si>
  <si>
    <t>Aoife Cullen</t>
  </si>
  <si>
    <t>Una O'Donnell</t>
  </si>
  <si>
    <t>Zane Doherty</t>
  </si>
  <si>
    <t>Brigid Tierney</t>
  </si>
  <si>
    <t>Tadhg Walsh</t>
  </si>
  <si>
    <t>Tadhg Farrell</t>
  </si>
  <si>
    <t>Niall O'Leary</t>
  </si>
  <si>
    <t>Winnie O'Connor</t>
  </si>
  <si>
    <t>Quinn Cullen</t>
  </si>
  <si>
    <t>Tadhg Malone</t>
  </si>
  <si>
    <t>Malachi Roche</t>
  </si>
  <si>
    <t>Siobhan Farrell</t>
  </si>
  <si>
    <t>Juliet Boyle</t>
  </si>
  <si>
    <t>Winnie Halloran</t>
  </si>
  <si>
    <t>Tara Kelly</t>
  </si>
  <si>
    <t>Lara Gallagher</t>
  </si>
  <si>
    <t>Maura Gorman</t>
  </si>
  <si>
    <t>Roisin Whelan</t>
  </si>
  <si>
    <t>Jarrett Gallagher</t>
  </si>
  <si>
    <t>Gabhain Keegan</t>
  </si>
  <si>
    <t>Malachi Connolly</t>
  </si>
  <si>
    <t>Hannah Doherty</t>
  </si>
  <si>
    <t>Padraig Kinsella</t>
  </si>
  <si>
    <t>Kathleen Hogan</t>
  </si>
  <si>
    <t>Kevin Hourihan</t>
  </si>
  <si>
    <t>Declan Hogan</t>
  </si>
  <si>
    <t>Siobhan Kelly</t>
  </si>
  <si>
    <t>Liam Tobin</t>
  </si>
  <si>
    <t>Hannah Rourke</t>
  </si>
  <si>
    <t>Xavier Tierney</t>
  </si>
  <si>
    <t>Quinn Whelan</t>
  </si>
  <si>
    <t>0vertime_Hours</t>
  </si>
  <si>
    <t>Overtime_pay</t>
  </si>
  <si>
    <t>Regular_pay</t>
  </si>
  <si>
    <t>Gross_pay_perweek</t>
  </si>
  <si>
    <t>USC</t>
  </si>
  <si>
    <t>PAYE_Tax</t>
  </si>
  <si>
    <t>PRSI</t>
  </si>
  <si>
    <t>Total_Deductions</t>
  </si>
  <si>
    <t>Net_Pay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</si>
</sst>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€-2]\ #,##0.00"/>
    <numFmt numFmtId="167" formatCode="[$€-1809]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  <xf numFmtId="0" fontId="2" fillId="0" borderId="2" xfId="0" applyFont="1" applyFill="1" applyBorder="1" applyAlignment="1">
      <alignment horizontal="center" vertical="top"/>
    </xf>
    <xf numFmtId="0" fontId="0" fillId="0" borderId="0" xfId="0" applyNumberFormat="1"/>
    <xf numFmtId="2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numFmt numFmtId="166" formatCode="[$€-2]\ #,##0.00"/>
      <alignment horizontal="center" vertical="center" textRotation="0" wrapText="0" indent="0" justifyLastLine="0" shrinkToFit="0" readingOrder="0"/>
    </dxf>
    <dxf>
      <numFmt numFmtId="166" formatCode="[$€-2]\ #,##0.00"/>
      <alignment horizontal="center" vertical="center" textRotation="0" wrapText="0" indent="0" justifyLastLine="0" shrinkToFit="0" readingOrder="0"/>
    </dxf>
    <dxf>
      <numFmt numFmtId="166" formatCode="[$€-2]\ #,##0.00"/>
      <alignment horizontal="center" vertical="center" textRotation="0" wrapText="0" indent="0" justifyLastLine="0" shrinkToFit="0" readingOrder="0"/>
    </dxf>
    <dxf>
      <numFmt numFmtId="166" formatCode="[$€-2]\ #,##0.00"/>
      <alignment horizontal="center" vertical="center" textRotation="0" wrapText="0" indent="0" justifyLastLine="0" shrinkToFit="0" readingOrder="0"/>
    </dxf>
    <dxf>
      <numFmt numFmtId="166" formatCode="[$€-2]\ #,##0.00"/>
      <alignment horizontal="center" vertical="center" textRotation="0" wrapText="0" indent="0" justifyLastLine="0" shrinkToFit="0" readingOrder="0"/>
    </dxf>
    <dxf>
      <numFmt numFmtId="166" formatCode="[$€-2]\ #,##0.00"/>
      <alignment horizontal="center" vertical="center" textRotation="0" wrapText="0" indent="0" justifyLastLine="0" shrinkToFit="0" readingOrder="0"/>
    </dxf>
    <dxf>
      <numFmt numFmtId="167" formatCode="[$€-1809]#,##0.00"/>
      <alignment horizontal="center" vertical="center" textRotation="0" wrapText="0" indent="0" justifyLastLine="0" shrinkToFit="0" readingOrder="0"/>
    </dxf>
    <dxf>
      <numFmt numFmtId="166" formatCode="[$€-2]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[$€-2]\ 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F79341-1505-4E65-AE97-2B3117C28F50}" name="Table1" displayName="Table1" ref="A1:M501" totalsRowShown="0" headerRowDxfId="11" dataDxfId="12">
  <autoFilter ref="A1:M501" xr:uid="{9DF79341-1505-4E65-AE97-2B3117C28F50}"/>
  <sortState xmlns:xlrd2="http://schemas.microsoft.com/office/spreadsheetml/2017/richdata2" ref="A2:M501">
    <sortCondition ref="L1:L501"/>
  </sortState>
  <tableColumns count="13">
    <tableColumn id="1" xr3:uid="{210AC212-889C-49E7-A88F-BB989B53C88D}" name="Employee_Name"/>
    <tableColumn id="2" xr3:uid="{9AEB8A07-A4ED-4A27-8C5C-55496C85773C}" name="City"/>
    <tableColumn id="3" xr3:uid="{AA4EE047-F6A9-4EAF-877D-07C5CDBBDFA7}" name="Hourly_Pay_EUR" dataDxfId="10"/>
    <tableColumn id="4" xr3:uid="{B415B7B1-97F9-4680-9444-95CCC37F270B}" name="Hours_Worked_Per_Week" dataDxfId="9"/>
    <tableColumn id="5" xr3:uid="{5F63C08E-BB51-4FA6-9A53-332D71320249}" name="0vertime_Hours" dataDxfId="8">
      <calculatedColumnFormula>MAX(0, D2-40)</calculatedColumnFormula>
    </tableColumn>
    <tableColumn id="6" xr3:uid="{47CD11BF-3CFF-47B7-A780-93AE085F8124}" name="Regular_pay" dataDxfId="7">
      <calculatedColumnFormula>MIN(D2,40)*C2</calculatedColumnFormula>
    </tableColumn>
    <tableColumn id="7" xr3:uid="{3CBEB4BA-24D7-4A92-8BDC-85B27589FD5B}" name="Overtime_pay" dataDxfId="6">
      <calculatedColumnFormula>E2 * C2 * 1.5</calculatedColumnFormula>
    </tableColumn>
    <tableColumn id="8" xr3:uid="{30128AD1-CEF2-4BCA-AC92-CD7B1DC12E41}" name="Gross_pay_perweek" dataDxfId="5">
      <calculatedColumnFormula>F2+G2</calculatedColumnFormula>
    </tableColumn>
    <tableColumn id="9" xr3:uid="{1E5AAB8E-5656-4FC9-9604-810AC5AD3386}" name="PAYE_Tax" dataDxfId="4">
      <calculatedColumnFormula>MAX(0,
IF(H2&lt;=800,
H2*0.2,
800*0.2+(H2-800)*0.4
)-70
)</calculatedColumnFormula>
    </tableColumn>
    <tableColumn id="10" xr3:uid="{746ECE3A-8902-44EF-8F63-0ACB59442257}" name="USC" dataDxfId="3">
      <calculatedColumnFormula>IF(H2&lt;=231,
H2*0.005,
IF(H2&lt;=693,
231*0.005+(H2-231)*0.02,
231*0.005+462*0.02+(H2-693)*0.045
))</calculatedColumnFormula>
    </tableColumn>
    <tableColumn id="11" xr3:uid="{CC109C74-2CC4-498E-B1DB-BD3C1665F12F}" name="PRSI" dataDxfId="2">
      <calculatedColumnFormula>H2*0.04</calculatedColumnFormula>
    </tableColumn>
    <tableColumn id="12" xr3:uid="{218C13B4-4842-4579-AFEA-007E467673FE}" name="Total_Deductions" dataDxfId="1">
      <calculatedColumnFormula>I2+J2+K2</calculatedColumnFormula>
    </tableColumn>
    <tableColumn id="13" xr3:uid="{C7B6C763-EBBD-4ED6-ADD6-F8EEB058502D}" name="Net_Pay" dataDxfId="0">
      <calculatedColumnFormula>H2-L2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4"/>
  <sheetViews>
    <sheetView tabSelected="1" workbookViewId="0">
      <selection activeCell="E9" sqref="E9"/>
    </sheetView>
  </sheetViews>
  <sheetFormatPr defaultRowHeight="14.4" x14ac:dyDescent="0.3"/>
  <cols>
    <col min="1" max="1" width="17.21875" customWidth="1"/>
    <col min="2" max="2" width="14.21875" bestFit="1" customWidth="1"/>
    <col min="3" max="3" width="17" customWidth="1"/>
    <col min="4" max="4" width="25" customWidth="1"/>
    <col min="5" max="5" width="16.21875" customWidth="1"/>
    <col min="6" max="6" width="14.44140625" customWidth="1"/>
    <col min="7" max="7" width="14.77734375" customWidth="1"/>
    <col min="8" max="8" width="22.5546875" bestFit="1" customWidth="1"/>
    <col min="9" max="9" width="13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482</v>
      </c>
      <c r="F1" s="3" t="s">
        <v>484</v>
      </c>
      <c r="G1" s="3" t="s">
        <v>483</v>
      </c>
      <c r="H1" s="3" t="s">
        <v>485</v>
      </c>
      <c r="I1" s="3" t="s">
        <v>487</v>
      </c>
      <c r="J1" s="3" t="s">
        <v>486</v>
      </c>
      <c r="K1" s="3" t="s">
        <v>488</v>
      </c>
      <c r="L1" s="3" t="s">
        <v>489</v>
      </c>
      <c r="M1" s="3" t="s">
        <v>490</v>
      </c>
    </row>
    <row r="2" spans="1:13" x14ac:dyDescent="0.3">
      <c r="A2" t="s">
        <v>54</v>
      </c>
      <c r="B2" t="s">
        <v>55</v>
      </c>
      <c r="C2" s="7">
        <v>15.13</v>
      </c>
      <c r="D2" s="8">
        <v>35.299999999999997</v>
      </c>
      <c r="E2" s="8">
        <f>MAX(0, D2-40)</f>
        <v>0</v>
      </c>
      <c r="F2" s="7">
        <f>MIN(D2,40)*C2</f>
        <v>534.08899999999994</v>
      </c>
      <c r="G2" s="9">
        <f>E2 * C2 * 1.5</f>
        <v>0</v>
      </c>
      <c r="H2" s="7">
        <f>F2+G2</f>
        <v>534.08899999999994</v>
      </c>
      <c r="I2" s="7">
        <f>MAX(0,
IF(H2&lt;=800,
H2*0.2,
800*0.2+(H2-800)*0.4
)-70
)</f>
        <v>36.817799999999991</v>
      </c>
      <c r="J2" s="7">
        <f>IF(H2&lt;=231,
H2*0.005,
IF(H2&lt;=693,
231*0.005+(H2-231)*0.02,
231*0.005+462*0.02+(H2-693)*0.045
))</f>
        <v>7.2167799999999991</v>
      </c>
      <c r="K2" s="7">
        <f>H2*0.04</f>
        <v>21.36356</v>
      </c>
      <c r="L2" s="7">
        <f>I2+J2+K2</f>
        <v>65.398139999999984</v>
      </c>
      <c r="M2" s="7">
        <f>H2-L2</f>
        <v>468.69085999999993</v>
      </c>
    </row>
    <row r="3" spans="1:13" x14ac:dyDescent="0.3">
      <c r="A3" t="s">
        <v>294</v>
      </c>
      <c r="B3" t="s">
        <v>29</v>
      </c>
      <c r="C3" s="7">
        <v>15.77</v>
      </c>
      <c r="D3" s="8">
        <v>35.299999999999997</v>
      </c>
      <c r="E3" s="8">
        <f>MAX(0, D3-40)</f>
        <v>0</v>
      </c>
      <c r="F3" s="7">
        <f>MIN(D3,40)*C3</f>
        <v>556.68099999999993</v>
      </c>
      <c r="G3" s="9">
        <f>E3 * C3 * 1.5</f>
        <v>0</v>
      </c>
      <c r="H3" s="7">
        <f>F3+G3</f>
        <v>556.68099999999993</v>
      </c>
      <c r="I3" s="7">
        <f>MAX(0,
IF(H3&lt;=800,
H3*0.2,
800*0.2+(H3-800)*0.4
)-70
)</f>
        <v>41.336199999999991</v>
      </c>
      <c r="J3" s="7">
        <f>IF(H3&lt;=231,
H3*0.005,
IF(H3&lt;=693,
231*0.005+(H3-231)*0.02,
231*0.005+462*0.02+(H3-693)*0.045
))</f>
        <v>7.6686199999999989</v>
      </c>
      <c r="K3" s="7">
        <f>H3*0.04</f>
        <v>22.267239999999997</v>
      </c>
      <c r="L3" s="7">
        <f>I3+J3+K3</f>
        <v>71.272059999999982</v>
      </c>
      <c r="M3" s="7">
        <f>H3-L3</f>
        <v>485.40893999999992</v>
      </c>
    </row>
    <row r="4" spans="1:13" x14ac:dyDescent="0.3">
      <c r="A4" t="s">
        <v>222</v>
      </c>
      <c r="B4" t="s">
        <v>101</v>
      </c>
      <c r="C4" s="7">
        <v>15.41</v>
      </c>
      <c r="D4" s="8">
        <v>36.200000000000003</v>
      </c>
      <c r="E4" s="8">
        <f>MAX(0, D4-40)</f>
        <v>0</v>
      </c>
      <c r="F4" s="7">
        <f>MIN(D4,40)*C4</f>
        <v>557.8420000000001</v>
      </c>
      <c r="G4" s="9">
        <f>E4 * C4 * 1.5</f>
        <v>0</v>
      </c>
      <c r="H4" s="7">
        <f>F4+G4</f>
        <v>557.8420000000001</v>
      </c>
      <c r="I4" s="7">
        <f>MAX(0,
IF(H4&lt;=800,
H4*0.2,
800*0.2+(H4-800)*0.4
)-70
)</f>
        <v>41.568400000000025</v>
      </c>
      <c r="J4" s="7">
        <f>IF(H4&lt;=231,
H4*0.005,
IF(H4&lt;=693,
231*0.005+(H4-231)*0.02,
231*0.005+462*0.02+(H4-693)*0.045
))</f>
        <v>7.6918400000000027</v>
      </c>
      <c r="K4" s="7">
        <f>H4*0.04</f>
        <v>22.313680000000005</v>
      </c>
      <c r="L4" s="7">
        <f>I4+J4+K4</f>
        <v>71.57392000000003</v>
      </c>
      <c r="M4" s="7">
        <f>H4-L4</f>
        <v>486.26808000000005</v>
      </c>
    </row>
    <row r="5" spans="1:13" x14ac:dyDescent="0.3">
      <c r="A5" t="s">
        <v>291</v>
      </c>
      <c r="B5" t="s">
        <v>209</v>
      </c>
      <c r="C5" s="7">
        <v>15</v>
      </c>
      <c r="D5" s="8">
        <v>37.9</v>
      </c>
      <c r="E5" s="8">
        <f>MAX(0, D5-40)</f>
        <v>0</v>
      </c>
      <c r="F5" s="7">
        <f>MIN(D5,40)*C5</f>
        <v>568.5</v>
      </c>
      <c r="G5" s="9">
        <f>E5 * C5 * 1.5</f>
        <v>0</v>
      </c>
      <c r="H5" s="7">
        <f>F5+G5</f>
        <v>568.5</v>
      </c>
      <c r="I5" s="7">
        <f>MAX(0,
IF(H5&lt;=800,
H5*0.2,
800*0.2+(H5-800)*0.4
)-70
)</f>
        <v>43.7</v>
      </c>
      <c r="J5" s="7">
        <f>IF(H5&lt;=231,
H5*0.005,
IF(H5&lt;=693,
231*0.005+(H5-231)*0.02,
231*0.005+462*0.02+(H5-693)*0.045
))</f>
        <v>7.9050000000000002</v>
      </c>
      <c r="K5" s="7">
        <f>H5*0.04</f>
        <v>22.740000000000002</v>
      </c>
      <c r="L5" s="7">
        <f>I5+J5+K5</f>
        <v>74.344999999999999</v>
      </c>
      <c r="M5" s="7">
        <f>H5-L5</f>
        <v>494.15499999999997</v>
      </c>
    </row>
    <row r="6" spans="1:13" x14ac:dyDescent="0.3">
      <c r="A6" t="s">
        <v>371</v>
      </c>
      <c r="B6" t="s">
        <v>209</v>
      </c>
      <c r="C6" s="7">
        <v>14.88</v>
      </c>
      <c r="D6" s="8">
        <v>38.299999999999997</v>
      </c>
      <c r="E6" s="8">
        <f>MAX(0, D6-40)</f>
        <v>0</v>
      </c>
      <c r="F6" s="7">
        <f>MIN(D6,40)*C6</f>
        <v>569.904</v>
      </c>
      <c r="G6" s="9">
        <f>E6 * C6 * 1.5</f>
        <v>0</v>
      </c>
      <c r="H6" s="7">
        <f>F6+G6</f>
        <v>569.904</v>
      </c>
      <c r="I6" s="7">
        <f>MAX(0,
IF(H6&lt;=800,
H6*0.2,
800*0.2+(H6-800)*0.4
)-70
)</f>
        <v>43.980800000000002</v>
      </c>
      <c r="J6" s="7">
        <f>IF(H6&lt;=231,
H6*0.005,
IF(H6&lt;=693,
231*0.005+(H6-231)*0.02,
231*0.005+462*0.02+(H6-693)*0.045
))</f>
        <v>7.9330800000000004</v>
      </c>
      <c r="K6" s="7">
        <f>H6*0.04</f>
        <v>22.79616</v>
      </c>
      <c r="L6" s="7">
        <f>I6+J6+K6</f>
        <v>74.710040000000006</v>
      </c>
      <c r="M6" s="7">
        <f>H6-L6</f>
        <v>495.19396</v>
      </c>
    </row>
    <row r="7" spans="1:13" x14ac:dyDescent="0.3">
      <c r="A7" t="s">
        <v>465</v>
      </c>
      <c r="B7" t="s">
        <v>13</v>
      </c>
      <c r="C7" s="7">
        <v>14.99</v>
      </c>
      <c r="D7" s="8">
        <v>38.4</v>
      </c>
      <c r="E7" s="8">
        <f>MAX(0, D7-40)</f>
        <v>0</v>
      </c>
      <c r="F7" s="7">
        <f>MIN(D7,40)*C7</f>
        <v>575.61599999999999</v>
      </c>
      <c r="G7" s="9">
        <f>E7 * C7 * 1.5</f>
        <v>0</v>
      </c>
      <c r="H7" s="7">
        <f>F7+G7</f>
        <v>575.61599999999999</v>
      </c>
      <c r="I7" s="7">
        <f>MAX(0,
IF(H7&lt;=800,
H7*0.2,
800*0.2+(H7-800)*0.4
)-70
)</f>
        <v>45.123199999999997</v>
      </c>
      <c r="J7" s="7">
        <f>IF(H7&lt;=231,
H7*0.005,
IF(H7&lt;=693,
231*0.005+(H7-231)*0.02,
231*0.005+462*0.02+(H7-693)*0.045
))</f>
        <v>8.0473199999999991</v>
      </c>
      <c r="K7" s="7">
        <f>H7*0.04</f>
        <v>23.024640000000002</v>
      </c>
      <c r="L7" s="7">
        <f>I7+J7+K7</f>
        <v>76.195160000000001</v>
      </c>
      <c r="M7" s="7">
        <f>H7-L7</f>
        <v>499.42084</v>
      </c>
    </row>
    <row r="8" spans="1:13" x14ac:dyDescent="0.3">
      <c r="A8" t="s">
        <v>203</v>
      </c>
      <c r="B8" t="s">
        <v>32</v>
      </c>
      <c r="C8" s="7">
        <v>16.37</v>
      </c>
      <c r="D8" s="8">
        <v>35.6</v>
      </c>
      <c r="E8" s="8">
        <f>MAX(0, D8-40)</f>
        <v>0</v>
      </c>
      <c r="F8" s="7">
        <f>MIN(D8,40)*C8</f>
        <v>582.77200000000005</v>
      </c>
      <c r="G8" s="9">
        <f>E8 * C8 * 1.5</f>
        <v>0</v>
      </c>
      <c r="H8" s="7">
        <f>F8+G8</f>
        <v>582.77200000000005</v>
      </c>
      <c r="I8" s="7">
        <f>MAX(0,
IF(H8&lt;=800,
H8*0.2,
800*0.2+(H8-800)*0.4
)-70
)</f>
        <v>46.554400000000015</v>
      </c>
      <c r="J8" s="7">
        <f>IF(H8&lt;=231,
H8*0.005,
IF(H8&lt;=693,
231*0.005+(H8-231)*0.02,
231*0.005+462*0.02+(H8-693)*0.045
))</f>
        <v>8.1904400000000006</v>
      </c>
      <c r="K8" s="7">
        <f>H8*0.04</f>
        <v>23.310880000000001</v>
      </c>
      <c r="L8" s="7">
        <f>I8+J8+K8</f>
        <v>78.055720000000022</v>
      </c>
      <c r="M8" s="7">
        <f>H8-L8</f>
        <v>504.71628000000004</v>
      </c>
    </row>
    <row r="9" spans="1:13" x14ac:dyDescent="0.3">
      <c r="A9" t="s">
        <v>450</v>
      </c>
      <c r="B9" t="s">
        <v>99</v>
      </c>
      <c r="C9" s="7">
        <v>16.04</v>
      </c>
      <c r="D9" s="8">
        <v>36.4</v>
      </c>
      <c r="E9" s="8">
        <f>MAX(0, D9-40)</f>
        <v>0</v>
      </c>
      <c r="F9" s="7">
        <f>MIN(D9,40)*C9</f>
        <v>583.85599999999999</v>
      </c>
      <c r="G9" s="9">
        <f>E9 * C9 * 1.5</f>
        <v>0</v>
      </c>
      <c r="H9" s="7">
        <f>F9+G9</f>
        <v>583.85599999999999</v>
      </c>
      <c r="I9" s="7">
        <f>MAX(0,
IF(H9&lt;=800,
H9*0.2,
800*0.2+(H9-800)*0.4
)-70
)</f>
        <v>46.771200000000007</v>
      </c>
      <c r="J9" s="7">
        <f>IF(H9&lt;=231,
H9*0.005,
IF(H9&lt;=693,
231*0.005+(H9-231)*0.02,
231*0.005+462*0.02+(H9-693)*0.045
))</f>
        <v>8.2121200000000005</v>
      </c>
      <c r="K9" s="7">
        <f>H9*0.04</f>
        <v>23.354240000000001</v>
      </c>
      <c r="L9" s="7">
        <f>I9+J9+K9</f>
        <v>78.337560000000011</v>
      </c>
      <c r="M9" s="7">
        <f>H9-L9</f>
        <v>505.51844</v>
      </c>
    </row>
    <row r="10" spans="1:13" x14ac:dyDescent="0.3">
      <c r="A10" t="s">
        <v>114</v>
      </c>
      <c r="B10" t="s">
        <v>29</v>
      </c>
      <c r="C10" s="7">
        <v>16.68</v>
      </c>
      <c r="D10" s="8">
        <v>35.1</v>
      </c>
      <c r="E10" s="8">
        <f>MAX(0, D10-40)</f>
        <v>0</v>
      </c>
      <c r="F10" s="7">
        <f>MIN(D10,40)*C10</f>
        <v>585.46799999999996</v>
      </c>
      <c r="G10" s="9">
        <f>E10 * C10 * 1.5</f>
        <v>0</v>
      </c>
      <c r="H10" s="7">
        <f>F10+G10</f>
        <v>585.46799999999996</v>
      </c>
      <c r="I10" s="7">
        <f>MAX(0,
IF(H10&lt;=800,
H10*0.2,
800*0.2+(H10-800)*0.4
)-70
)</f>
        <v>47.093599999999995</v>
      </c>
      <c r="J10" s="7">
        <f>IF(H10&lt;=231,
H10*0.005,
IF(H10&lt;=693,
231*0.005+(H10-231)*0.02,
231*0.005+462*0.02+(H10-693)*0.045
))</f>
        <v>8.2443599999999986</v>
      </c>
      <c r="K10" s="7">
        <f>H10*0.04</f>
        <v>23.41872</v>
      </c>
      <c r="L10" s="7">
        <f>I10+J10+K10</f>
        <v>78.756679999999989</v>
      </c>
      <c r="M10" s="7">
        <f>H10-L10</f>
        <v>506.71132</v>
      </c>
    </row>
    <row r="11" spans="1:13" x14ac:dyDescent="0.3">
      <c r="A11" t="s">
        <v>328</v>
      </c>
      <c r="B11" t="s">
        <v>13</v>
      </c>
      <c r="C11" s="7">
        <v>15.33</v>
      </c>
      <c r="D11" s="8">
        <v>38.200000000000003</v>
      </c>
      <c r="E11" s="8">
        <f>MAX(0, D11-40)</f>
        <v>0</v>
      </c>
      <c r="F11" s="7">
        <f>MIN(D11,40)*C11</f>
        <v>585.60599999999999</v>
      </c>
      <c r="G11" s="9">
        <f>E11 * C11 * 1.5</f>
        <v>0</v>
      </c>
      <c r="H11" s="7">
        <f>F11+G11</f>
        <v>585.60599999999999</v>
      </c>
      <c r="I11" s="7">
        <f>MAX(0,
IF(H11&lt;=800,
H11*0.2,
800*0.2+(H11-800)*0.4
)-70
)</f>
        <v>47.121200000000002</v>
      </c>
      <c r="J11" s="7">
        <f>IF(H11&lt;=231,
H11*0.005,
IF(H11&lt;=693,
231*0.005+(H11-231)*0.02,
231*0.005+462*0.02+(H11-693)*0.045
))</f>
        <v>8.2471200000000007</v>
      </c>
      <c r="K11" s="7">
        <f>H11*0.04</f>
        <v>23.424240000000001</v>
      </c>
      <c r="L11" s="7">
        <f>I11+J11+K11</f>
        <v>78.792560000000009</v>
      </c>
      <c r="M11" s="7">
        <f>H11-L11</f>
        <v>506.81344000000001</v>
      </c>
    </row>
    <row r="12" spans="1:13" x14ac:dyDescent="0.3">
      <c r="A12" t="s">
        <v>416</v>
      </c>
      <c r="B12" t="s">
        <v>99</v>
      </c>
      <c r="C12" s="7">
        <v>15.84</v>
      </c>
      <c r="D12" s="8">
        <v>37.4</v>
      </c>
      <c r="E12" s="8">
        <f>MAX(0, D12-40)</f>
        <v>0</v>
      </c>
      <c r="F12" s="7">
        <f>MIN(D12,40)*C12</f>
        <v>592.41599999999994</v>
      </c>
      <c r="G12" s="9">
        <f>E12 * C12 * 1.5</f>
        <v>0</v>
      </c>
      <c r="H12" s="7">
        <f>F12+G12</f>
        <v>592.41599999999994</v>
      </c>
      <c r="I12" s="7">
        <f>MAX(0,
IF(H12&lt;=800,
H12*0.2,
800*0.2+(H12-800)*0.4
)-70
)</f>
        <v>48.483199999999997</v>
      </c>
      <c r="J12" s="7">
        <f>IF(H12&lt;=231,
H12*0.005,
IF(H12&lt;=693,
231*0.005+(H12-231)*0.02,
231*0.005+462*0.02+(H12-693)*0.045
))</f>
        <v>8.3833199999999994</v>
      </c>
      <c r="K12" s="7">
        <f>H12*0.04</f>
        <v>23.696639999999999</v>
      </c>
      <c r="L12" s="7">
        <f>I12+J12+K12</f>
        <v>80.563159999999996</v>
      </c>
      <c r="M12" s="7">
        <f>H12-L12</f>
        <v>511.85283999999996</v>
      </c>
    </row>
    <row r="13" spans="1:13" x14ac:dyDescent="0.3">
      <c r="A13" t="s">
        <v>383</v>
      </c>
      <c r="B13" t="s">
        <v>15</v>
      </c>
      <c r="C13" s="7">
        <v>15.29</v>
      </c>
      <c r="D13" s="8">
        <v>38.799999999999997</v>
      </c>
      <c r="E13" s="8">
        <f>MAX(0, D13-40)</f>
        <v>0</v>
      </c>
      <c r="F13" s="7">
        <f>MIN(D13,40)*C13</f>
        <v>593.25199999999995</v>
      </c>
      <c r="G13" s="9">
        <f>E13 * C13 * 1.5</f>
        <v>0</v>
      </c>
      <c r="H13" s="7">
        <f>F13+G13</f>
        <v>593.25199999999995</v>
      </c>
      <c r="I13" s="7">
        <f>MAX(0,
IF(H13&lt;=800,
H13*0.2,
800*0.2+(H13-800)*0.4
)-70
)</f>
        <v>48.650399999999991</v>
      </c>
      <c r="J13" s="7">
        <f>IF(H13&lt;=231,
H13*0.005,
IF(H13&lt;=693,
231*0.005+(H13-231)*0.02,
231*0.005+462*0.02+(H13-693)*0.045
))</f>
        <v>8.4000399999999988</v>
      </c>
      <c r="K13" s="7">
        <f>H13*0.04</f>
        <v>23.730079999999997</v>
      </c>
      <c r="L13" s="7">
        <f>I13+J13+K13</f>
        <v>80.780519999999981</v>
      </c>
      <c r="M13" s="7">
        <f>H13-L13</f>
        <v>512.47147999999993</v>
      </c>
    </row>
    <row r="14" spans="1:13" x14ac:dyDescent="0.3">
      <c r="A14" t="s">
        <v>445</v>
      </c>
      <c r="B14" t="s">
        <v>7</v>
      </c>
      <c r="C14" s="7">
        <v>16.079999999999998</v>
      </c>
      <c r="D14" s="8">
        <v>36.9</v>
      </c>
      <c r="E14" s="8">
        <f>MAX(0, D14-40)</f>
        <v>0</v>
      </c>
      <c r="F14" s="7">
        <f>MIN(D14,40)*C14</f>
        <v>593.35199999999986</v>
      </c>
      <c r="G14" s="9">
        <f>E14 * C14 * 1.5</f>
        <v>0</v>
      </c>
      <c r="H14" s="7">
        <f>F14+G14</f>
        <v>593.35199999999986</v>
      </c>
      <c r="I14" s="7">
        <f>MAX(0,
IF(H14&lt;=800,
H14*0.2,
800*0.2+(H14-800)*0.4
)-70
)</f>
        <v>48.670399999999972</v>
      </c>
      <c r="J14" s="7">
        <f>IF(H14&lt;=231,
H14*0.005,
IF(H14&lt;=693,
231*0.005+(H14-231)*0.02,
231*0.005+462*0.02+(H14-693)*0.045
))</f>
        <v>8.4020399999999977</v>
      </c>
      <c r="K14" s="7">
        <f>H14*0.04</f>
        <v>23.734079999999995</v>
      </c>
      <c r="L14" s="7">
        <f>I14+J14+K14</f>
        <v>80.806519999999963</v>
      </c>
      <c r="M14" s="7">
        <f>H14-L14</f>
        <v>512.54547999999988</v>
      </c>
    </row>
    <row r="15" spans="1:13" x14ac:dyDescent="0.3">
      <c r="A15" t="s">
        <v>237</v>
      </c>
      <c r="B15" t="s">
        <v>25</v>
      </c>
      <c r="C15" s="7">
        <v>16.86</v>
      </c>
      <c r="D15" s="8">
        <v>35.200000000000003</v>
      </c>
      <c r="E15" s="8">
        <f>MAX(0, D15-40)</f>
        <v>0</v>
      </c>
      <c r="F15" s="7">
        <f>MIN(D15,40)*C15</f>
        <v>593.47199999999998</v>
      </c>
      <c r="G15" s="9">
        <f>E15 * C15 * 1.5</f>
        <v>0</v>
      </c>
      <c r="H15" s="7">
        <f>F15+G15</f>
        <v>593.47199999999998</v>
      </c>
      <c r="I15" s="7">
        <f>MAX(0,
IF(H15&lt;=800,
H15*0.2,
800*0.2+(H15-800)*0.4
)-70
)</f>
        <v>48.694400000000002</v>
      </c>
      <c r="J15" s="7">
        <f>IF(H15&lt;=231,
H15*0.005,
IF(H15&lt;=693,
231*0.005+(H15-231)*0.02,
231*0.005+462*0.02+(H15-693)*0.045
))</f>
        <v>8.4044399999999992</v>
      </c>
      <c r="K15" s="7">
        <f>H15*0.04</f>
        <v>23.738879999999998</v>
      </c>
      <c r="L15" s="7">
        <f>I15+J15+K15</f>
        <v>80.837720000000004</v>
      </c>
      <c r="M15" s="7">
        <f>H15-L15</f>
        <v>512.63427999999999</v>
      </c>
    </row>
    <row r="16" spans="1:13" x14ac:dyDescent="0.3">
      <c r="A16" t="s">
        <v>35</v>
      </c>
      <c r="B16" t="s">
        <v>25</v>
      </c>
      <c r="C16" s="7">
        <v>16.600000000000001</v>
      </c>
      <c r="D16" s="8">
        <v>35.9</v>
      </c>
      <c r="E16" s="8">
        <f>MAX(0, D16-40)</f>
        <v>0</v>
      </c>
      <c r="F16" s="7">
        <f>MIN(D16,40)*C16</f>
        <v>595.94000000000005</v>
      </c>
      <c r="G16" s="9">
        <f>E16 * C16 * 1.5</f>
        <v>0</v>
      </c>
      <c r="H16" s="7">
        <f>F16+G16</f>
        <v>595.94000000000005</v>
      </c>
      <c r="I16" s="7">
        <f>MAX(0,
IF(H16&lt;=800,
H16*0.2,
800*0.2+(H16-800)*0.4
)-70
)</f>
        <v>49.188000000000017</v>
      </c>
      <c r="J16" s="7">
        <f>IF(H16&lt;=231,
H16*0.005,
IF(H16&lt;=693,
231*0.005+(H16-231)*0.02,
231*0.005+462*0.02+(H16-693)*0.045
))</f>
        <v>8.4538000000000011</v>
      </c>
      <c r="K16" s="7">
        <f>H16*0.04</f>
        <v>23.837600000000002</v>
      </c>
      <c r="L16" s="7">
        <f>I16+J16+K16</f>
        <v>81.479400000000027</v>
      </c>
      <c r="M16" s="7">
        <f>H16-L16</f>
        <v>514.4606</v>
      </c>
    </row>
    <row r="17" spans="1:13" x14ac:dyDescent="0.3">
      <c r="A17" t="s">
        <v>382</v>
      </c>
      <c r="B17" t="s">
        <v>57</v>
      </c>
      <c r="C17" s="7">
        <v>16.63</v>
      </c>
      <c r="D17" s="8">
        <v>36</v>
      </c>
      <c r="E17" s="8">
        <f>MAX(0, D17-40)</f>
        <v>0</v>
      </c>
      <c r="F17" s="7">
        <f>MIN(D17,40)*C17</f>
        <v>598.67999999999995</v>
      </c>
      <c r="G17" s="9">
        <f>E17 * C17 * 1.5</f>
        <v>0</v>
      </c>
      <c r="H17" s="7">
        <f>F17+G17</f>
        <v>598.67999999999995</v>
      </c>
      <c r="I17" s="7">
        <f>MAX(0,
IF(H17&lt;=800,
H17*0.2,
800*0.2+(H17-800)*0.4
)-70
)</f>
        <v>49.73599999999999</v>
      </c>
      <c r="J17" s="7">
        <f>IF(H17&lt;=231,
H17*0.005,
IF(H17&lt;=693,
231*0.005+(H17-231)*0.02,
231*0.005+462*0.02+(H17-693)*0.045
))</f>
        <v>8.5085999999999995</v>
      </c>
      <c r="K17" s="7">
        <f>H17*0.04</f>
        <v>23.947199999999999</v>
      </c>
      <c r="L17" s="7">
        <f>I17+J17+K17</f>
        <v>82.191799999999986</v>
      </c>
      <c r="M17" s="7">
        <f>H17-L17</f>
        <v>516.48820000000001</v>
      </c>
    </row>
    <row r="18" spans="1:13" x14ac:dyDescent="0.3">
      <c r="A18" t="s">
        <v>344</v>
      </c>
      <c r="B18" t="s">
        <v>66</v>
      </c>
      <c r="C18" s="7">
        <v>15.62</v>
      </c>
      <c r="D18" s="8">
        <v>38.5</v>
      </c>
      <c r="E18" s="8">
        <f>MAX(0, D18-40)</f>
        <v>0</v>
      </c>
      <c r="F18" s="7">
        <f>MIN(D18,40)*C18</f>
        <v>601.37</v>
      </c>
      <c r="G18" s="9">
        <f>E18 * C18 * 1.5</f>
        <v>0</v>
      </c>
      <c r="H18" s="7">
        <f>F18+G18</f>
        <v>601.37</v>
      </c>
      <c r="I18" s="7">
        <f>MAX(0,
IF(H18&lt;=800,
H18*0.2,
800*0.2+(H18-800)*0.4
)-70
)</f>
        <v>50.274000000000001</v>
      </c>
      <c r="J18" s="7">
        <f>IF(H18&lt;=231,
H18*0.005,
IF(H18&lt;=693,
231*0.005+(H18-231)*0.02,
231*0.005+462*0.02+(H18-693)*0.045
))</f>
        <v>8.5624000000000002</v>
      </c>
      <c r="K18" s="7">
        <f>H18*0.04</f>
        <v>24.0548</v>
      </c>
      <c r="L18" s="7">
        <f>I18+J18+K18</f>
        <v>82.891199999999998</v>
      </c>
      <c r="M18" s="7">
        <f>H18-L18</f>
        <v>518.47879999999998</v>
      </c>
    </row>
    <row r="19" spans="1:13" x14ac:dyDescent="0.3">
      <c r="A19" t="s">
        <v>472</v>
      </c>
      <c r="B19" t="s">
        <v>43</v>
      </c>
      <c r="C19" s="7">
        <v>16.53</v>
      </c>
      <c r="D19" s="8">
        <v>36.4</v>
      </c>
      <c r="E19" s="8">
        <f>MAX(0, D19-40)</f>
        <v>0</v>
      </c>
      <c r="F19" s="7">
        <f>MIN(D19,40)*C19</f>
        <v>601.69200000000001</v>
      </c>
      <c r="G19" s="9">
        <f>E19 * C19 * 1.5</f>
        <v>0</v>
      </c>
      <c r="H19" s="7">
        <f>F19+G19</f>
        <v>601.69200000000001</v>
      </c>
      <c r="I19" s="7">
        <f>MAX(0,
IF(H19&lt;=800,
H19*0.2,
800*0.2+(H19-800)*0.4
)-70
)</f>
        <v>50.338400000000007</v>
      </c>
      <c r="J19" s="7">
        <f>IF(H19&lt;=231,
H19*0.005,
IF(H19&lt;=693,
231*0.005+(H19-231)*0.02,
231*0.005+462*0.02+(H19-693)*0.045
))</f>
        <v>8.5688399999999998</v>
      </c>
      <c r="K19" s="7">
        <f>H19*0.04</f>
        <v>24.067679999999999</v>
      </c>
      <c r="L19" s="7">
        <f>I19+J19+K19</f>
        <v>82.974920000000012</v>
      </c>
      <c r="M19" s="7">
        <f>H19-L19</f>
        <v>518.71708000000001</v>
      </c>
    </row>
    <row r="20" spans="1:13" x14ac:dyDescent="0.3">
      <c r="A20" t="s">
        <v>256</v>
      </c>
      <c r="B20" t="s">
        <v>55</v>
      </c>
      <c r="C20" s="7">
        <v>15.22</v>
      </c>
      <c r="D20" s="8">
        <v>40.299999999999997</v>
      </c>
      <c r="E20" s="8">
        <f>MAX(0, D20-40)</f>
        <v>0.29999999999999716</v>
      </c>
      <c r="F20" s="7">
        <f>MIN(D20,40)*C20</f>
        <v>608.80000000000007</v>
      </c>
      <c r="G20" s="9">
        <f>E20 * C20 * 1.5</f>
        <v>6.8489999999999363</v>
      </c>
      <c r="H20" s="7">
        <f>F20+G20</f>
        <v>615.649</v>
      </c>
      <c r="I20" s="7">
        <f>MAX(0,
IF(H20&lt;=800,
H20*0.2,
800*0.2+(H20-800)*0.4
)-70
)</f>
        <v>53.129800000000003</v>
      </c>
      <c r="J20" s="7">
        <f>IF(H20&lt;=231,
H20*0.005,
IF(H20&lt;=693,
231*0.005+(H20-231)*0.02,
231*0.005+462*0.02+(H20-693)*0.045
))</f>
        <v>8.8479799999999997</v>
      </c>
      <c r="K20" s="7">
        <f>H20*0.04</f>
        <v>24.625959999999999</v>
      </c>
      <c r="L20" s="7">
        <f>I20+J20+K20</f>
        <v>86.603740000000002</v>
      </c>
      <c r="M20" s="7">
        <f>H20-L20</f>
        <v>529.04525999999998</v>
      </c>
    </row>
    <row r="21" spans="1:13" x14ac:dyDescent="0.3">
      <c r="A21" t="s">
        <v>419</v>
      </c>
      <c r="B21" t="s">
        <v>145</v>
      </c>
      <c r="C21" s="7">
        <v>15.76</v>
      </c>
      <c r="D21" s="8">
        <v>39.1</v>
      </c>
      <c r="E21" s="8">
        <f>MAX(0, D21-40)</f>
        <v>0</v>
      </c>
      <c r="F21" s="7">
        <f>MIN(D21,40)*C21</f>
        <v>616.21600000000001</v>
      </c>
      <c r="G21" s="9">
        <f>E21 * C21 * 1.5</f>
        <v>0</v>
      </c>
      <c r="H21" s="7">
        <f>F21+G21</f>
        <v>616.21600000000001</v>
      </c>
      <c r="I21" s="7">
        <f>MAX(0,
IF(H21&lt;=800,
H21*0.2,
800*0.2+(H21-800)*0.4
)-70
)</f>
        <v>53.243200000000002</v>
      </c>
      <c r="J21" s="7">
        <f>IF(H21&lt;=231,
H21*0.005,
IF(H21&lt;=693,
231*0.005+(H21-231)*0.02,
231*0.005+462*0.02+(H21-693)*0.045
))</f>
        <v>8.8593200000000003</v>
      </c>
      <c r="K21" s="7">
        <f>H21*0.04</f>
        <v>24.64864</v>
      </c>
      <c r="L21" s="7">
        <f>I21+J21+K21</f>
        <v>86.751159999999999</v>
      </c>
      <c r="M21" s="7">
        <f>H21-L21</f>
        <v>529.46483999999998</v>
      </c>
    </row>
    <row r="22" spans="1:13" x14ac:dyDescent="0.3">
      <c r="A22" t="s">
        <v>469</v>
      </c>
      <c r="B22" t="s">
        <v>25</v>
      </c>
      <c r="C22" s="7">
        <v>16.43</v>
      </c>
      <c r="D22" s="8">
        <v>37.6</v>
      </c>
      <c r="E22" s="8">
        <f>MAX(0, D22-40)</f>
        <v>0</v>
      </c>
      <c r="F22" s="7">
        <f>MIN(D22,40)*C22</f>
        <v>617.76800000000003</v>
      </c>
      <c r="G22" s="9">
        <f>E22 * C22 * 1.5</f>
        <v>0</v>
      </c>
      <c r="H22" s="7">
        <f>F22+G22</f>
        <v>617.76800000000003</v>
      </c>
      <c r="I22" s="7">
        <f>MAX(0,
IF(H22&lt;=800,
H22*0.2,
800*0.2+(H22-800)*0.4
)-70
)</f>
        <v>53.553600000000017</v>
      </c>
      <c r="J22" s="7">
        <f>IF(H22&lt;=231,
H22*0.005,
IF(H22&lt;=693,
231*0.005+(H22-231)*0.02,
231*0.005+462*0.02+(H22-693)*0.045
))</f>
        <v>8.8903600000000012</v>
      </c>
      <c r="K22" s="7">
        <f>H22*0.04</f>
        <v>24.710720000000002</v>
      </c>
      <c r="L22" s="7">
        <f>I22+J22+K22</f>
        <v>87.154680000000013</v>
      </c>
      <c r="M22" s="7">
        <f>H22-L22</f>
        <v>530.61332000000004</v>
      </c>
    </row>
    <row r="23" spans="1:13" x14ac:dyDescent="0.3">
      <c r="A23" t="s">
        <v>330</v>
      </c>
      <c r="B23" t="s">
        <v>209</v>
      </c>
      <c r="C23" s="7">
        <v>17.04</v>
      </c>
      <c r="D23" s="8">
        <v>36.299999999999997</v>
      </c>
      <c r="E23" s="8">
        <f>MAX(0, D23-40)</f>
        <v>0</v>
      </c>
      <c r="F23" s="7">
        <f>MIN(D23,40)*C23</f>
        <v>618.55199999999991</v>
      </c>
      <c r="G23" s="9">
        <f>E23 * C23 * 1.5</f>
        <v>0</v>
      </c>
      <c r="H23" s="7">
        <f>F23+G23</f>
        <v>618.55199999999991</v>
      </c>
      <c r="I23" s="7">
        <f>MAX(0,
IF(H23&lt;=800,
H23*0.2,
800*0.2+(H23-800)*0.4
)-70
)</f>
        <v>53.710399999999993</v>
      </c>
      <c r="J23" s="7">
        <f>IF(H23&lt;=231,
H23*0.005,
IF(H23&lt;=693,
231*0.005+(H23-231)*0.02,
231*0.005+462*0.02+(H23-693)*0.045
))</f>
        <v>8.9060399999999973</v>
      </c>
      <c r="K23" s="7">
        <f>H23*0.04</f>
        <v>24.742079999999998</v>
      </c>
      <c r="L23" s="7">
        <f>I23+J23+K23</f>
        <v>87.358519999999984</v>
      </c>
      <c r="M23" s="7">
        <f>H23-L23</f>
        <v>531.19347999999991</v>
      </c>
    </row>
    <row r="24" spans="1:13" x14ac:dyDescent="0.3">
      <c r="A24" t="s">
        <v>150</v>
      </c>
      <c r="B24" t="s">
        <v>145</v>
      </c>
      <c r="C24" s="7">
        <v>16.13</v>
      </c>
      <c r="D24" s="8">
        <v>38.5</v>
      </c>
      <c r="E24" s="8">
        <f>MAX(0, D24-40)</f>
        <v>0</v>
      </c>
      <c r="F24" s="7">
        <f>MIN(D24,40)*C24</f>
        <v>621.005</v>
      </c>
      <c r="G24" s="9">
        <f>E24 * C24 * 1.5</f>
        <v>0</v>
      </c>
      <c r="H24" s="7">
        <f>F24+G24</f>
        <v>621.005</v>
      </c>
      <c r="I24" s="7">
        <f>MAX(0,
IF(H24&lt;=800,
H24*0.2,
800*0.2+(H24-800)*0.4
)-70
)</f>
        <v>54.201000000000008</v>
      </c>
      <c r="J24" s="7">
        <f>IF(H24&lt;=231,
H24*0.005,
IF(H24&lt;=693,
231*0.005+(H24-231)*0.02,
231*0.005+462*0.02+(H24-693)*0.045
))</f>
        <v>8.9550999999999998</v>
      </c>
      <c r="K24" s="7">
        <f>H24*0.04</f>
        <v>24.840199999999999</v>
      </c>
      <c r="L24" s="7">
        <f>I24+J24+K24</f>
        <v>87.996300000000005</v>
      </c>
      <c r="M24" s="7">
        <f>H24-L24</f>
        <v>533.00869999999998</v>
      </c>
    </row>
    <row r="25" spans="1:13" x14ac:dyDescent="0.3">
      <c r="A25" t="s">
        <v>156</v>
      </c>
      <c r="B25" t="s">
        <v>66</v>
      </c>
      <c r="C25" s="7">
        <v>17.059999999999999</v>
      </c>
      <c r="D25" s="8">
        <v>36.5</v>
      </c>
      <c r="E25" s="8">
        <f>MAX(0, D25-40)</f>
        <v>0</v>
      </c>
      <c r="F25" s="7">
        <f>MIN(D25,40)*C25</f>
        <v>622.68999999999994</v>
      </c>
      <c r="G25" s="9">
        <f>E25 * C25 * 1.5</f>
        <v>0</v>
      </c>
      <c r="H25" s="7">
        <f>F25+G25</f>
        <v>622.68999999999994</v>
      </c>
      <c r="I25" s="7">
        <f>MAX(0,
IF(H25&lt;=800,
H25*0.2,
800*0.2+(H25-800)*0.4
)-70
)</f>
        <v>54.537999999999997</v>
      </c>
      <c r="J25" s="7">
        <f>IF(H25&lt;=231,
H25*0.005,
IF(H25&lt;=693,
231*0.005+(H25-231)*0.02,
231*0.005+462*0.02+(H25-693)*0.045
))</f>
        <v>8.9887999999999995</v>
      </c>
      <c r="K25" s="7">
        <f>H25*0.04</f>
        <v>24.907599999999999</v>
      </c>
      <c r="L25" s="7">
        <f>I25+J25+K25</f>
        <v>88.434399999999997</v>
      </c>
      <c r="M25" s="7">
        <f>H25-L25</f>
        <v>534.25559999999996</v>
      </c>
    </row>
    <row r="26" spans="1:13" x14ac:dyDescent="0.3">
      <c r="A26" t="s">
        <v>319</v>
      </c>
      <c r="B26" t="s">
        <v>209</v>
      </c>
      <c r="C26" s="7">
        <v>17.66</v>
      </c>
      <c r="D26" s="8">
        <v>35.299999999999997</v>
      </c>
      <c r="E26" s="8">
        <f>MAX(0, D26-40)</f>
        <v>0</v>
      </c>
      <c r="F26" s="7">
        <f>MIN(D26,40)*C26</f>
        <v>623.39799999999991</v>
      </c>
      <c r="G26" s="9">
        <f>E26 * C26 * 1.5</f>
        <v>0</v>
      </c>
      <c r="H26" s="7">
        <f>F26+G26</f>
        <v>623.39799999999991</v>
      </c>
      <c r="I26" s="7">
        <f>MAX(0,
IF(H26&lt;=800,
H26*0.2,
800*0.2+(H26-800)*0.4
)-70
)</f>
        <v>54.679599999999994</v>
      </c>
      <c r="J26" s="7">
        <f>IF(H26&lt;=231,
H26*0.005,
IF(H26&lt;=693,
231*0.005+(H26-231)*0.02,
231*0.005+462*0.02+(H26-693)*0.045
))</f>
        <v>9.0029599999999981</v>
      </c>
      <c r="K26" s="7">
        <f>H26*0.04</f>
        <v>24.935919999999996</v>
      </c>
      <c r="L26" s="7">
        <f>I26+J26+K26</f>
        <v>88.618479999999991</v>
      </c>
      <c r="M26" s="7">
        <f>H26-L26</f>
        <v>534.77951999999993</v>
      </c>
    </row>
    <row r="27" spans="1:13" x14ac:dyDescent="0.3">
      <c r="A27" t="s">
        <v>64</v>
      </c>
      <c r="B27" t="s">
        <v>57</v>
      </c>
      <c r="C27" s="7">
        <v>16.7</v>
      </c>
      <c r="D27" s="8">
        <v>37.799999999999997</v>
      </c>
      <c r="E27" s="8">
        <f>MAX(0, D27-40)</f>
        <v>0</v>
      </c>
      <c r="F27" s="7">
        <f>MIN(D27,40)*C27</f>
        <v>631.25999999999988</v>
      </c>
      <c r="G27" s="9">
        <f>E27 * C27 * 1.5</f>
        <v>0</v>
      </c>
      <c r="H27" s="7">
        <f>F27+G27</f>
        <v>631.25999999999988</v>
      </c>
      <c r="I27" s="7">
        <f>MAX(0,
IF(H27&lt;=800,
H27*0.2,
800*0.2+(H27-800)*0.4
)-70
)</f>
        <v>56.251999999999981</v>
      </c>
      <c r="J27" s="7">
        <f>IF(H27&lt;=231,
H27*0.005,
IF(H27&lt;=693,
231*0.005+(H27-231)*0.02,
231*0.005+462*0.02+(H27-693)*0.045
))</f>
        <v>9.1601999999999979</v>
      </c>
      <c r="K27" s="7">
        <f>H27*0.04</f>
        <v>25.250399999999996</v>
      </c>
      <c r="L27" s="7">
        <f>I27+J27+K27</f>
        <v>90.662599999999983</v>
      </c>
      <c r="M27" s="7">
        <f>H27-L27</f>
        <v>540.59739999999988</v>
      </c>
    </row>
    <row r="28" spans="1:13" x14ac:dyDescent="0.3">
      <c r="A28" t="s">
        <v>122</v>
      </c>
      <c r="B28" t="s">
        <v>123</v>
      </c>
      <c r="C28" s="7">
        <v>17.34</v>
      </c>
      <c r="D28" s="8">
        <v>36.5</v>
      </c>
      <c r="E28" s="8">
        <f>MAX(0, D28-40)</f>
        <v>0</v>
      </c>
      <c r="F28" s="7">
        <f>MIN(D28,40)*C28</f>
        <v>632.91</v>
      </c>
      <c r="G28" s="9">
        <f>E28 * C28 * 1.5</f>
        <v>0</v>
      </c>
      <c r="H28" s="7">
        <f>F28+G28</f>
        <v>632.91</v>
      </c>
      <c r="I28" s="7">
        <f>MAX(0,
IF(H28&lt;=800,
H28*0.2,
800*0.2+(H28-800)*0.4
)-70
)</f>
        <v>56.581999999999994</v>
      </c>
      <c r="J28" s="7">
        <f>IF(H28&lt;=231,
H28*0.005,
IF(H28&lt;=693,
231*0.005+(H28-231)*0.02,
231*0.005+462*0.02+(H28-693)*0.045
))</f>
        <v>9.1931999999999992</v>
      </c>
      <c r="K28" s="7">
        <f>H28*0.04</f>
        <v>25.316399999999998</v>
      </c>
      <c r="L28" s="7">
        <f>I28+J28+K28</f>
        <v>91.0916</v>
      </c>
      <c r="M28" s="7">
        <f>H28-L28</f>
        <v>541.8184</v>
      </c>
    </row>
    <row r="29" spans="1:13" x14ac:dyDescent="0.3">
      <c r="A29" t="s">
        <v>70</v>
      </c>
      <c r="B29" t="s">
        <v>21</v>
      </c>
      <c r="C29" s="7">
        <v>17.02</v>
      </c>
      <c r="D29" s="8">
        <v>37.200000000000003</v>
      </c>
      <c r="E29" s="8">
        <f>MAX(0, D29-40)</f>
        <v>0</v>
      </c>
      <c r="F29" s="7">
        <f>MIN(D29,40)*C29</f>
        <v>633.14400000000001</v>
      </c>
      <c r="G29" s="9">
        <f>E29 * C29 * 1.5</f>
        <v>0</v>
      </c>
      <c r="H29" s="7">
        <f>F29+G29</f>
        <v>633.14400000000001</v>
      </c>
      <c r="I29" s="7">
        <f>MAX(0,
IF(H29&lt;=800,
H29*0.2,
800*0.2+(H29-800)*0.4
)-70
)</f>
        <v>56.628800000000012</v>
      </c>
      <c r="J29" s="7">
        <f>IF(H29&lt;=231,
H29*0.005,
IF(H29&lt;=693,
231*0.005+(H29-231)*0.02,
231*0.005+462*0.02+(H29-693)*0.045
))</f>
        <v>9.1978799999999996</v>
      </c>
      <c r="K29" s="7">
        <f>H29*0.04</f>
        <v>25.325760000000002</v>
      </c>
      <c r="L29" s="7">
        <f>I29+J29+K29</f>
        <v>91.152440000000013</v>
      </c>
      <c r="M29" s="7">
        <f>H29-L29</f>
        <v>541.99155999999994</v>
      </c>
    </row>
    <row r="30" spans="1:13" x14ac:dyDescent="0.3">
      <c r="A30" t="s">
        <v>139</v>
      </c>
      <c r="B30" t="s">
        <v>101</v>
      </c>
      <c r="C30" s="7">
        <v>17.68</v>
      </c>
      <c r="D30" s="8">
        <v>36.1</v>
      </c>
      <c r="E30" s="8">
        <f>MAX(0, D30-40)</f>
        <v>0</v>
      </c>
      <c r="F30" s="7">
        <f>MIN(D30,40)*C30</f>
        <v>638.24800000000005</v>
      </c>
      <c r="G30" s="9">
        <f>E30 * C30 * 1.5</f>
        <v>0</v>
      </c>
      <c r="H30" s="7">
        <f>F30+G30</f>
        <v>638.24800000000005</v>
      </c>
      <c r="I30" s="7">
        <f>MAX(0,
IF(H30&lt;=800,
H30*0.2,
800*0.2+(H30-800)*0.4
)-70
)</f>
        <v>57.649600000000021</v>
      </c>
      <c r="J30" s="7">
        <f>IF(H30&lt;=231,
H30*0.005,
IF(H30&lt;=693,
231*0.005+(H30-231)*0.02,
231*0.005+462*0.02+(H30-693)*0.045
))</f>
        <v>9.2999600000000004</v>
      </c>
      <c r="K30" s="7">
        <f>H30*0.04</f>
        <v>25.529920000000004</v>
      </c>
      <c r="L30" s="7">
        <f>I30+J30+K30</f>
        <v>92.479480000000024</v>
      </c>
      <c r="M30" s="7">
        <f>H30-L30</f>
        <v>545.76852000000008</v>
      </c>
    </row>
    <row r="31" spans="1:13" x14ac:dyDescent="0.3">
      <c r="A31" t="s">
        <v>14</v>
      </c>
      <c r="B31" t="s">
        <v>15</v>
      </c>
      <c r="C31" s="7">
        <v>16.559999999999999</v>
      </c>
      <c r="D31" s="8">
        <v>38.6</v>
      </c>
      <c r="E31" s="8">
        <f>MAX(0, D31-40)</f>
        <v>0</v>
      </c>
      <c r="F31" s="7">
        <f>MIN(D31,40)*C31</f>
        <v>639.21600000000001</v>
      </c>
      <c r="G31" s="9">
        <f>E31 * C31 * 1.5</f>
        <v>0</v>
      </c>
      <c r="H31" s="7">
        <f>F31+G31</f>
        <v>639.21600000000001</v>
      </c>
      <c r="I31" s="7">
        <f>MAX(0,
IF(H31&lt;=800,
H31*0.2,
800*0.2+(H31-800)*0.4
)-70
)</f>
        <v>57.84320000000001</v>
      </c>
      <c r="J31" s="7">
        <f>IF(H31&lt;=231,
H31*0.005,
IF(H31&lt;=693,
231*0.005+(H31-231)*0.02,
231*0.005+462*0.02+(H31-693)*0.045
))</f>
        <v>9.3193199999999994</v>
      </c>
      <c r="K31" s="7">
        <f>H31*0.04</f>
        <v>25.568640000000002</v>
      </c>
      <c r="L31" s="7">
        <f>I31+J31+K31</f>
        <v>92.731160000000017</v>
      </c>
      <c r="M31" s="7">
        <f>H31-L31</f>
        <v>546.48483999999996</v>
      </c>
    </row>
    <row r="32" spans="1:13" x14ac:dyDescent="0.3">
      <c r="A32" t="s">
        <v>250</v>
      </c>
      <c r="B32" t="s">
        <v>43</v>
      </c>
      <c r="C32" s="7">
        <v>17.23</v>
      </c>
      <c r="D32" s="8">
        <v>37.1</v>
      </c>
      <c r="E32" s="8">
        <f>MAX(0, D32-40)</f>
        <v>0</v>
      </c>
      <c r="F32" s="7">
        <f>MIN(D32,40)*C32</f>
        <v>639.23300000000006</v>
      </c>
      <c r="G32" s="9">
        <f>E32 * C32 * 1.5</f>
        <v>0</v>
      </c>
      <c r="H32" s="7">
        <f>F32+G32</f>
        <v>639.23300000000006</v>
      </c>
      <c r="I32" s="7">
        <f>MAX(0,
IF(H32&lt;=800,
H32*0.2,
800*0.2+(H32-800)*0.4
)-70
)</f>
        <v>57.846600000000024</v>
      </c>
      <c r="J32" s="7">
        <f>IF(H32&lt;=231,
H32*0.005,
IF(H32&lt;=693,
231*0.005+(H32-231)*0.02,
231*0.005+462*0.02+(H32-693)*0.045
))</f>
        <v>9.3196600000000007</v>
      </c>
      <c r="K32" s="7">
        <f>H32*0.04</f>
        <v>25.569320000000005</v>
      </c>
      <c r="L32" s="7">
        <f>I32+J32+K32</f>
        <v>92.735580000000027</v>
      </c>
      <c r="M32" s="7">
        <f>H32-L32</f>
        <v>546.49742000000003</v>
      </c>
    </row>
    <row r="33" spans="1:13" x14ac:dyDescent="0.3">
      <c r="A33" t="s">
        <v>305</v>
      </c>
      <c r="B33" t="s">
        <v>7</v>
      </c>
      <c r="C33" s="7">
        <v>15.78</v>
      </c>
      <c r="D33" s="8">
        <v>40.5</v>
      </c>
      <c r="E33" s="8">
        <f>MAX(0, D33-40)</f>
        <v>0.5</v>
      </c>
      <c r="F33" s="7">
        <f>MIN(D33,40)*C33</f>
        <v>631.19999999999993</v>
      </c>
      <c r="G33" s="9">
        <f>E33 * C33 * 1.5</f>
        <v>11.834999999999999</v>
      </c>
      <c r="H33" s="7">
        <f>F33+G33</f>
        <v>643.03499999999997</v>
      </c>
      <c r="I33" s="7">
        <f>MAX(0,
IF(H33&lt;=800,
H33*0.2,
800*0.2+(H33-800)*0.4
)-70
)</f>
        <v>58.606999999999999</v>
      </c>
      <c r="J33" s="7">
        <f>IF(H33&lt;=231,
H33*0.005,
IF(H33&lt;=693,
231*0.005+(H33-231)*0.02,
231*0.005+462*0.02+(H33-693)*0.045
))</f>
        <v>9.3956999999999997</v>
      </c>
      <c r="K33" s="7">
        <f>H33*0.04</f>
        <v>25.721399999999999</v>
      </c>
      <c r="L33" s="7">
        <f>I33+J33+K33</f>
        <v>93.724100000000007</v>
      </c>
      <c r="M33" s="7">
        <f>H33-L33</f>
        <v>549.31089999999995</v>
      </c>
    </row>
    <row r="34" spans="1:13" x14ac:dyDescent="0.3">
      <c r="A34" t="s">
        <v>474</v>
      </c>
      <c r="B34" t="s">
        <v>43</v>
      </c>
      <c r="C34" s="7">
        <v>16.329999999999998</v>
      </c>
      <c r="D34" s="8">
        <v>39.5</v>
      </c>
      <c r="E34" s="8">
        <f>MAX(0, D34-40)</f>
        <v>0</v>
      </c>
      <c r="F34" s="7">
        <f>MIN(D34,40)*C34</f>
        <v>645.03499999999997</v>
      </c>
      <c r="G34" s="9">
        <f>E34 * C34 * 1.5</f>
        <v>0</v>
      </c>
      <c r="H34" s="7">
        <f>F34+G34</f>
        <v>645.03499999999997</v>
      </c>
      <c r="I34" s="7">
        <f>MAX(0,
IF(H34&lt;=800,
H34*0.2,
800*0.2+(H34-800)*0.4
)-70
)</f>
        <v>59.007000000000005</v>
      </c>
      <c r="J34" s="7">
        <f>IF(H34&lt;=231,
H34*0.005,
IF(H34&lt;=693,
231*0.005+(H34-231)*0.02,
231*0.005+462*0.02+(H34-693)*0.045
))</f>
        <v>9.4356999999999989</v>
      </c>
      <c r="K34" s="7">
        <f>H34*0.04</f>
        <v>25.801400000000001</v>
      </c>
      <c r="L34" s="7">
        <f>I34+J34+K34</f>
        <v>94.244100000000003</v>
      </c>
      <c r="M34" s="7">
        <f>H34-L34</f>
        <v>550.79089999999997</v>
      </c>
    </row>
    <row r="35" spans="1:13" x14ac:dyDescent="0.3">
      <c r="A35" t="s">
        <v>420</v>
      </c>
      <c r="B35" t="s">
        <v>125</v>
      </c>
      <c r="C35" s="7">
        <v>17.41</v>
      </c>
      <c r="D35" s="8">
        <v>37.299999999999997</v>
      </c>
      <c r="E35" s="8">
        <f>MAX(0, D35-40)</f>
        <v>0</v>
      </c>
      <c r="F35" s="7">
        <f>MIN(D35,40)*C35</f>
        <v>649.39299999999992</v>
      </c>
      <c r="G35" s="9">
        <f>E35 * C35 * 1.5</f>
        <v>0</v>
      </c>
      <c r="H35" s="7">
        <f>F35+G35</f>
        <v>649.39299999999992</v>
      </c>
      <c r="I35" s="7">
        <f>MAX(0,
IF(H35&lt;=800,
H35*0.2,
800*0.2+(H35-800)*0.4
)-70
)</f>
        <v>59.878599999999977</v>
      </c>
      <c r="J35" s="7">
        <f>IF(H35&lt;=231,
H35*0.005,
IF(H35&lt;=693,
231*0.005+(H35-231)*0.02,
231*0.005+462*0.02+(H35-693)*0.045
))</f>
        <v>9.5228599999999979</v>
      </c>
      <c r="K35" s="7">
        <f>H35*0.04</f>
        <v>25.975719999999995</v>
      </c>
      <c r="L35" s="7">
        <f>I35+J35+K35</f>
        <v>95.377179999999967</v>
      </c>
      <c r="M35" s="7">
        <f>H35-L35</f>
        <v>554.01581999999996</v>
      </c>
    </row>
    <row r="36" spans="1:13" x14ac:dyDescent="0.3">
      <c r="A36" t="s">
        <v>292</v>
      </c>
      <c r="B36" t="s">
        <v>32</v>
      </c>
      <c r="C36" s="7">
        <v>18.09</v>
      </c>
      <c r="D36" s="8">
        <v>35.9</v>
      </c>
      <c r="E36" s="8">
        <f>MAX(0, D36-40)</f>
        <v>0</v>
      </c>
      <c r="F36" s="7">
        <f>MIN(D36,40)*C36</f>
        <v>649.43099999999993</v>
      </c>
      <c r="G36" s="9">
        <f>E36 * C36 * 1.5</f>
        <v>0</v>
      </c>
      <c r="H36" s="7">
        <f>F36+G36</f>
        <v>649.43099999999993</v>
      </c>
      <c r="I36" s="7">
        <f>MAX(0,
IF(H36&lt;=800,
H36*0.2,
800*0.2+(H36-800)*0.4
)-70
)</f>
        <v>59.886200000000002</v>
      </c>
      <c r="J36" s="7">
        <f>IF(H36&lt;=231,
H36*0.005,
IF(H36&lt;=693,
231*0.005+(H36-231)*0.02,
231*0.005+462*0.02+(H36-693)*0.045
))</f>
        <v>9.5236199999999975</v>
      </c>
      <c r="K36" s="7">
        <f>H36*0.04</f>
        <v>25.977239999999998</v>
      </c>
      <c r="L36" s="7">
        <f>I36+J36+K36</f>
        <v>95.387059999999991</v>
      </c>
      <c r="M36" s="7">
        <f>H36-L36</f>
        <v>554.04393999999991</v>
      </c>
    </row>
    <row r="37" spans="1:13" x14ac:dyDescent="0.3">
      <c r="A37" t="s">
        <v>374</v>
      </c>
      <c r="B37" t="s">
        <v>43</v>
      </c>
      <c r="C37" s="7">
        <v>18.350000000000001</v>
      </c>
      <c r="D37" s="8">
        <v>35.9</v>
      </c>
      <c r="E37" s="8">
        <f>MAX(0, D37-40)</f>
        <v>0</v>
      </c>
      <c r="F37" s="7">
        <f>MIN(D37,40)*C37</f>
        <v>658.76499999999999</v>
      </c>
      <c r="G37" s="9">
        <f>E37 * C37 * 1.5</f>
        <v>0</v>
      </c>
      <c r="H37" s="7">
        <f>F37+G37</f>
        <v>658.76499999999999</v>
      </c>
      <c r="I37" s="7">
        <f>MAX(0,
IF(H37&lt;=800,
H37*0.2,
800*0.2+(H37-800)*0.4
)-70
)</f>
        <v>61.753000000000014</v>
      </c>
      <c r="J37" s="7">
        <f>IF(H37&lt;=231,
H37*0.005,
IF(H37&lt;=693,
231*0.005+(H37-231)*0.02,
231*0.005+462*0.02+(H37-693)*0.045
))</f>
        <v>9.7103000000000002</v>
      </c>
      <c r="K37" s="7">
        <f>H37*0.04</f>
        <v>26.3506</v>
      </c>
      <c r="L37" s="7">
        <f>I37+J37+K37</f>
        <v>97.813900000000018</v>
      </c>
      <c r="M37" s="7">
        <f>H37-L37</f>
        <v>560.9511</v>
      </c>
    </row>
    <row r="38" spans="1:13" x14ac:dyDescent="0.3">
      <c r="A38" t="s">
        <v>257</v>
      </c>
      <c r="B38" t="s">
        <v>99</v>
      </c>
      <c r="C38" s="7">
        <v>15.06</v>
      </c>
      <c r="D38" s="8">
        <v>42.5</v>
      </c>
      <c r="E38" s="8">
        <f>MAX(0, D38-40)</f>
        <v>2.5</v>
      </c>
      <c r="F38" s="7">
        <f>MIN(D38,40)*C38</f>
        <v>602.4</v>
      </c>
      <c r="G38" s="9">
        <f>E38 * C38 * 1.5</f>
        <v>56.474999999999994</v>
      </c>
      <c r="H38" s="7">
        <f>F38+G38</f>
        <v>658.875</v>
      </c>
      <c r="I38" s="7">
        <f>MAX(0,
IF(H38&lt;=800,
H38*0.2,
800*0.2+(H38-800)*0.4
)-70
)</f>
        <v>61.775000000000006</v>
      </c>
      <c r="J38" s="7">
        <f>IF(H38&lt;=231,
H38*0.005,
IF(H38&lt;=693,
231*0.005+(H38-231)*0.02,
231*0.005+462*0.02+(H38-693)*0.045
))</f>
        <v>9.7125000000000004</v>
      </c>
      <c r="K38" s="7">
        <f>H38*0.04</f>
        <v>26.355</v>
      </c>
      <c r="L38" s="7">
        <f>I38+J38+K38</f>
        <v>97.842500000000015</v>
      </c>
      <c r="M38" s="7">
        <f>H38-L38</f>
        <v>561.03250000000003</v>
      </c>
    </row>
    <row r="39" spans="1:13" x14ac:dyDescent="0.3">
      <c r="A39" t="s">
        <v>313</v>
      </c>
      <c r="B39" t="s">
        <v>43</v>
      </c>
      <c r="C39" s="7">
        <v>15.54</v>
      </c>
      <c r="D39" s="8">
        <v>41.6</v>
      </c>
      <c r="E39" s="8">
        <f>MAX(0, D39-40)</f>
        <v>1.6000000000000014</v>
      </c>
      <c r="F39" s="7">
        <f>MIN(D39,40)*C39</f>
        <v>621.59999999999991</v>
      </c>
      <c r="G39" s="9">
        <f>E39 * C39 * 1.5</f>
        <v>37.296000000000035</v>
      </c>
      <c r="H39" s="7">
        <f>F39+G39</f>
        <v>658.89599999999996</v>
      </c>
      <c r="I39" s="7">
        <f>MAX(0,
IF(H39&lt;=800,
H39*0.2,
800*0.2+(H39-800)*0.4
)-70
)</f>
        <v>61.779200000000003</v>
      </c>
      <c r="J39" s="7">
        <f>IF(H39&lt;=231,
H39*0.005,
IF(H39&lt;=693,
231*0.005+(H39-231)*0.02,
231*0.005+462*0.02+(H39-693)*0.045
))</f>
        <v>9.7129199999999987</v>
      </c>
      <c r="K39" s="7">
        <f>H39*0.04</f>
        <v>26.355840000000001</v>
      </c>
      <c r="L39" s="7">
        <f>I39+J39+K39</f>
        <v>97.84796</v>
      </c>
      <c r="M39" s="7">
        <f>H39-L39</f>
        <v>561.0480399999999</v>
      </c>
    </row>
    <row r="40" spans="1:13" x14ac:dyDescent="0.3">
      <c r="A40" t="s">
        <v>481</v>
      </c>
      <c r="B40" t="s">
        <v>9</v>
      </c>
      <c r="C40" s="7">
        <v>17.18</v>
      </c>
      <c r="D40" s="8">
        <v>38.5</v>
      </c>
      <c r="E40" s="8">
        <f>MAX(0, D40-40)</f>
        <v>0</v>
      </c>
      <c r="F40" s="7">
        <f>MIN(D40,40)*C40</f>
        <v>661.43</v>
      </c>
      <c r="G40" s="9">
        <f>E40 * C40 * 1.5</f>
        <v>0</v>
      </c>
      <c r="H40" s="7">
        <f>F40+G40</f>
        <v>661.43</v>
      </c>
      <c r="I40" s="7">
        <f>MAX(0,
IF(H40&lt;=800,
H40*0.2,
800*0.2+(H40-800)*0.4
)-70
)</f>
        <v>62.286000000000001</v>
      </c>
      <c r="J40" s="7">
        <f>IF(H40&lt;=231,
H40*0.005,
IF(H40&lt;=693,
231*0.005+(H40-231)*0.02,
231*0.005+462*0.02+(H40-693)*0.045
))</f>
        <v>9.7635999999999985</v>
      </c>
      <c r="K40" s="7">
        <f>H40*0.04</f>
        <v>26.4572</v>
      </c>
      <c r="L40" s="7">
        <f>I40+J40+K40</f>
        <v>98.506799999999998</v>
      </c>
      <c r="M40" s="7">
        <f>H40-L40</f>
        <v>562.92319999999995</v>
      </c>
    </row>
    <row r="41" spans="1:13" x14ac:dyDescent="0.3">
      <c r="A41" t="s">
        <v>121</v>
      </c>
      <c r="B41" t="s">
        <v>21</v>
      </c>
      <c r="C41" s="7">
        <v>17.32</v>
      </c>
      <c r="D41" s="8">
        <v>38.200000000000003</v>
      </c>
      <c r="E41" s="8">
        <f>MAX(0, D41-40)</f>
        <v>0</v>
      </c>
      <c r="F41" s="7">
        <f>MIN(D41,40)*C41</f>
        <v>661.62400000000002</v>
      </c>
      <c r="G41" s="9">
        <f>E41 * C41 * 1.5</f>
        <v>0</v>
      </c>
      <c r="H41" s="7">
        <f>F41+G41</f>
        <v>661.62400000000002</v>
      </c>
      <c r="I41" s="7">
        <f>MAX(0,
IF(H41&lt;=800,
H41*0.2,
800*0.2+(H41-800)*0.4
)-70
)</f>
        <v>62.32480000000001</v>
      </c>
      <c r="J41" s="7">
        <f>IF(H41&lt;=231,
H41*0.005,
IF(H41&lt;=693,
231*0.005+(H41-231)*0.02,
231*0.005+462*0.02+(H41-693)*0.045
))</f>
        <v>9.7674800000000008</v>
      </c>
      <c r="K41" s="7">
        <f>H41*0.04</f>
        <v>26.464960000000001</v>
      </c>
      <c r="L41" s="7">
        <f>I41+J41+K41</f>
        <v>98.557240000000021</v>
      </c>
      <c r="M41" s="7">
        <f>H41-L41</f>
        <v>563.06676000000004</v>
      </c>
    </row>
    <row r="42" spans="1:13" x14ac:dyDescent="0.3">
      <c r="A42" t="s">
        <v>260</v>
      </c>
      <c r="B42" t="s">
        <v>49</v>
      </c>
      <c r="C42" s="7">
        <v>17.43</v>
      </c>
      <c r="D42" s="8">
        <v>38</v>
      </c>
      <c r="E42" s="8">
        <f>MAX(0, D42-40)</f>
        <v>0</v>
      </c>
      <c r="F42" s="7">
        <f>MIN(D42,40)*C42</f>
        <v>662.34</v>
      </c>
      <c r="G42" s="9">
        <f>E42 * C42 * 1.5</f>
        <v>0</v>
      </c>
      <c r="H42" s="7">
        <f>F42+G42</f>
        <v>662.34</v>
      </c>
      <c r="I42" s="7">
        <f>MAX(0,
IF(H42&lt;=800,
H42*0.2,
800*0.2+(H42-800)*0.4
)-70
)</f>
        <v>62.468000000000018</v>
      </c>
      <c r="J42" s="7">
        <f>IF(H42&lt;=231,
H42*0.005,
IF(H42&lt;=693,
231*0.005+(H42-231)*0.02,
231*0.005+462*0.02+(H42-693)*0.045
))</f>
        <v>9.7818000000000005</v>
      </c>
      <c r="K42" s="7">
        <f>H42*0.04</f>
        <v>26.493600000000001</v>
      </c>
      <c r="L42" s="7">
        <f>I42+J42+K42</f>
        <v>98.743400000000022</v>
      </c>
      <c r="M42" s="7">
        <f>H42-L42</f>
        <v>563.59659999999997</v>
      </c>
    </row>
    <row r="43" spans="1:13" x14ac:dyDescent="0.3">
      <c r="A43" t="s">
        <v>241</v>
      </c>
      <c r="B43" t="s">
        <v>27</v>
      </c>
      <c r="C43" s="7">
        <v>18.260000000000002</v>
      </c>
      <c r="D43" s="8">
        <v>36.5</v>
      </c>
      <c r="E43" s="8">
        <f>MAX(0, D43-40)</f>
        <v>0</v>
      </c>
      <c r="F43" s="7">
        <f>MIN(D43,40)*C43</f>
        <v>666.49</v>
      </c>
      <c r="G43" s="9">
        <f>E43 * C43 * 1.5</f>
        <v>0</v>
      </c>
      <c r="H43" s="7">
        <f>F43+G43</f>
        <v>666.49</v>
      </c>
      <c r="I43" s="7">
        <f>MAX(0,
IF(H43&lt;=800,
H43*0.2,
800*0.2+(H43-800)*0.4
)-70
)</f>
        <v>63.298000000000002</v>
      </c>
      <c r="J43" s="7">
        <f>IF(H43&lt;=231,
H43*0.005,
IF(H43&lt;=693,
231*0.005+(H43-231)*0.02,
231*0.005+462*0.02+(H43-693)*0.045
))</f>
        <v>9.8647999999999989</v>
      </c>
      <c r="K43" s="7">
        <f>H43*0.04</f>
        <v>26.659600000000001</v>
      </c>
      <c r="L43" s="7">
        <f>I43+J43+K43</f>
        <v>99.822400000000002</v>
      </c>
      <c r="M43" s="7">
        <f>H43-L43</f>
        <v>566.66759999999999</v>
      </c>
    </row>
    <row r="44" spans="1:13" x14ac:dyDescent="0.3">
      <c r="A44" t="s">
        <v>436</v>
      </c>
      <c r="B44" t="s">
        <v>209</v>
      </c>
      <c r="C44" s="7">
        <v>17.559999999999999</v>
      </c>
      <c r="D44" s="8">
        <v>38.1</v>
      </c>
      <c r="E44" s="8">
        <f>MAX(0, D44-40)</f>
        <v>0</v>
      </c>
      <c r="F44" s="7">
        <f>MIN(D44,40)*C44</f>
        <v>669.03599999999994</v>
      </c>
      <c r="G44" s="9">
        <f>E44 * C44 * 1.5</f>
        <v>0</v>
      </c>
      <c r="H44" s="7">
        <f>F44+G44</f>
        <v>669.03599999999994</v>
      </c>
      <c r="I44" s="7">
        <f>MAX(0,
IF(H44&lt;=800,
H44*0.2,
800*0.2+(H44-800)*0.4
)-70
)</f>
        <v>63.807199999999995</v>
      </c>
      <c r="J44" s="7">
        <f>IF(H44&lt;=231,
H44*0.005,
IF(H44&lt;=693,
231*0.005+(H44-231)*0.02,
231*0.005+462*0.02+(H44-693)*0.045
))</f>
        <v>9.9157199999999985</v>
      </c>
      <c r="K44" s="7">
        <f>H44*0.04</f>
        <v>26.761439999999997</v>
      </c>
      <c r="L44" s="7">
        <f>I44+J44+K44</f>
        <v>100.48435999999998</v>
      </c>
      <c r="M44" s="7">
        <f>H44-L44</f>
        <v>568.55163999999991</v>
      </c>
    </row>
    <row r="45" spans="1:13" x14ac:dyDescent="0.3">
      <c r="A45" t="s">
        <v>127</v>
      </c>
      <c r="B45" t="s">
        <v>29</v>
      </c>
      <c r="C45" s="7">
        <v>17.61</v>
      </c>
      <c r="D45" s="8">
        <v>38</v>
      </c>
      <c r="E45" s="8">
        <f>MAX(0, D45-40)</f>
        <v>0</v>
      </c>
      <c r="F45" s="7">
        <f>MIN(D45,40)*C45</f>
        <v>669.18</v>
      </c>
      <c r="G45" s="9">
        <f>E45 * C45 * 1.5</f>
        <v>0</v>
      </c>
      <c r="H45" s="7">
        <f>F45+G45</f>
        <v>669.18</v>
      </c>
      <c r="I45" s="7">
        <f>MAX(0,
IF(H45&lt;=800,
H45*0.2,
800*0.2+(H45-800)*0.4
)-70
)</f>
        <v>63.835999999999984</v>
      </c>
      <c r="J45" s="7">
        <f>IF(H45&lt;=231,
H45*0.005,
IF(H45&lt;=693,
231*0.005+(H45-231)*0.02,
231*0.005+462*0.02+(H45-693)*0.045
))</f>
        <v>9.9185999999999979</v>
      </c>
      <c r="K45" s="7">
        <f>H45*0.04</f>
        <v>26.767199999999999</v>
      </c>
      <c r="L45" s="7">
        <f>I45+J45+K45</f>
        <v>100.52179999999998</v>
      </c>
      <c r="M45" s="7">
        <f>H45-L45</f>
        <v>568.65819999999997</v>
      </c>
    </row>
    <row r="46" spans="1:13" x14ac:dyDescent="0.3">
      <c r="A46" t="s">
        <v>379</v>
      </c>
      <c r="B46" t="s">
        <v>66</v>
      </c>
      <c r="C46" s="7">
        <v>17.59</v>
      </c>
      <c r="D46" s="8">
        <v>38.299999999999997</v>
      </c>
      <c r="E46" s="8">
        <f>MAX(0, D46-40)</f>
        <v>0</v>
      </c>
      <c r="F46" s="7">
        <f>MIN(D46,40)*C46</f>
        <v>673.69699999999989</v>
      </c>
      <c r="G46" s="9">
        <f>E46 * C46 * 1.5</f>
        <v>0</v>
      </c>
      <c r="H46" s="7">
        <f>F46+G46</f>
        <v>673.69699999999989</v>
      </c>
      <c r="I46" s="7">
        <f>MAX(0,
IF(H46&lt;=800,
H46*0.2,
800*0.2+(H46-800)*0.4
)-70
)</f>
        <v>64.739399999999989</v>
      </c>
      <c r="J46" s="7">
        <f>IF(H46&lt;=231,
H46*0.005,
IF(H46&lt;=693,
231*0.005+(H46-231)*0.02,
231*0.005+462*0.02+(H46-693)*0.045
))</f>
        <v>10.008939999999997</v>
      </c>
      <c r="K46" s="7">
        <f>H46*0.04</f>
        <v>26.947879999999998</v>
      </c>
      <c r="L46" s="7">
        <f>I46+J46+K46</f>
        <v>101.69621999999998</v>
      </c>
      <c r="M46" s="7">
        <f>H46-L46</f>
        <v>572.00077999999985</v>
      </c>
    </row>
    <row r="47" spans="1:13" x14ac:dyDescent="0.3">
      <c r="A47" t="s">
        <v>107</v>
      </c>
      <c r="B47" t="s">
        <v>7</v>
      </c>
      <c r="C47" s="7">
        <v>17.760000000000002</v>
      </c>
      <c r="D47" s="8">
        <v>38</v>
      </c>
      <c r="E47" s="8">
        <f>MAX(0, D47-40)</f>
        <v>0</v>
      </c>
      <c r="F47" s="7">
        <f>MIN(D47,40)*C47</f>
        <v>674.88000000000011</v>
      </c>
      <c r="G47" s="9">
        <f>E47 * C47 * 1.5</f>
        <v>0</v>
      </c>
      <c r="H47" s="7">
        <f>F47+G47</f>
        <v>674.88000000000011</v>
      </c>
      <c r="I47" s="7">
        <f>MAX(0,
IF(H47&lt;=800,
H47*0.2,
800*0.2+(H47-800)*0.4
)-70
)</f>
        <v>64.976000000000028</v>
      </c>
      <c r="J47" s="7">
        <f>IF(H47&lt;=231,
H47*0.005,
IF(H47&lt;=693,
231*0.005+(H47-231)*0.02,
231*0.005+462*0.02+(H47-693)*0.045
))</f>
        <v>10.032600000000002</v>
      </c>
      <c r="K47" s="7">
        <f>H47*0.04</f>
        <v>26.995200000000004</v>
      </c>
      <c r="L47" s="7">
        <f>I47+J47+K47</f>
        <v>102.00380000000004</v>
      </c>
      <c r="M47" s="7">
        <f>H47-L47</f>
        <v>572.87620000000004</v>
      </c>
    </row>
    <row r="48" spans="1:13" x14ac:dyDescent="0.3">
      <c r="A48" t="s">
        <v>106</v>
      </c>
      <c r="B48" t="s">
        <v>43</v>
      </c>
      <c r="C48" s="7">
        <v>15.92</v>
      </c>
      <c r="D48" s="8">
        <v>41.6</v>
      </c>
      <c r="E48" s="8">
        <f>MAX(0, D48-40)</f>
        <v>1.6000000000000014</v>
      </c>
      <c r="F48" s="7">
        <f>MIN(D48,40)*C48</f>
        <v>636.79999999999995</v>
      </c>
      <c r="G48" s="9">
        <f>E48 * C48 * 1.5</f>
        <v>38.208000000000034</v>
      </c>
      <c r="H48" s="7">
        <f>F48+G48</f>
        <v>675.00800000000004</v>
      </c>
      <c r="I48" s="7">
        <f>MAX(0,
IF(H48&lt;=800,
H48*0.2,
800*0.2+(H48-800)*0.4
)-70
)</f>
        <v>65.001600000000025</v>
      </c>
      <c r="J48" s="7">
        <f>IF(H48&lt;=231,
H48*0.005,
IF(H48&lt;=693,
231*0.005+(H48-231)*0.02,
231*0.005+462*0.02+(H48-693)*0.045
))</f>
        <v>10.035160000000001</v>
      </c>
      <c r="K48" s="7">
        <f>H48*0.04</f>
        <v>27.000320000000002</v>
      </c>
      <c r="L48" s="7">
        <f>I48+J48+K48</f>
        <v>102.03708000000003</v>
      </c>
      <c r="M48" s="7">
        <f>H48-L48</f>
        <v>572.97091999999998</v>
      </c>
    </row>
    <row r="49" spans="1:13" x14ac:dyDescent="0.3">
      <c r="A49" t="s">
        <v>207</v>
      </c>
      <c r="B49" t="s">
        <v>19</v>
      </c>
      <c r="C49" s="7">
        <v>17.54</v>
      </c>
      <c r="D49" s="8">
        <v>38.5</v>
      </c>
      <c r="E49" s="8">
        <f>MAX(0, D49-40)</f>
        <v>0</v>
      </c>
      <c r="F49" s="7">
        <f>MIN(D49,40)*C49</f>
        <v>675.29</v>
      </c>
      <c r="G49" s="9">
        <f>E49 * C49 * 1.5</f>
        <v>0</v>
      </c>
      <c r="H49" s="7">
        <f>F49+G49</f>
        <v>675.29</v>
      </c>
      <c r="I49" s="7">
        <f>MAX(0,
IF(H49&lt;=800,
H49*0.2,
800*0.2+(H49-800)*0.4
)-70
)</f>
        <v>65.057999999999993</v>
      </c>
      <c r="J49" s="7">
        <f>IF(H49&lt;=231,
H49*0.005,
IF(H49&lt;=693,
231*0.005+(H49-231)*0.02,
231*0.005+462*0.02+(H49-693)*0.045
))</f>
        <v>10.040799999999999</v>
      </c>
      <c r="K49" s="7">
        <f>H49*0.04</f>
        <v>27.011599999999998</v>
      </c>
      <c r="L49" s="7">
        <f>I49+J49+K49</f>
        <v>102.1104</v>
      </c>
      <c r="M49" s="7">
        <f>H49-L49</f>
        <v>573.17959999999994</v>
      </c>
    </row>
    <row r="50" spans="1:13" x14ac:dyDescent="0.3">
      <c r="A50" t="s">
        <v>467</v>
      </c>
      <c r="B50" t="s">
        <v>99</v>
      </c>
      <c r="C50" s="7">
        <v>18.21</v>
      </c>
      <c r="D50" s="8">
        <v>37.1</v>
      </c>
      <c r="E50" s="8">
        <f>MAX(0, D50-40)</f>
        <v>0</v>
      </c>
      <c r="F50" s="7">
        <f>MIN(D50,40)*C50</f>
        <v>675.59100000000001</v>
      </c>
      <c r="G50" s="9">
        <f>E50 * C50 * 1.5</f>
        <v>0</v>
      </c>
      <c r="H50" s="7">
        <f>F50+G50</f>
        <v>675.59100000000001</v>
      </c>
      <c r="I50" s="7">
        <f>MAX(0,
IF(H50&lt;=800,
H50*0.2,
800*0.2+(H50-800)*0.4
)-70
)</f>
        <v>65.118200000000002</v>
      </c>
      <c r="J50" s="7">
        <f>IF(H50&lt;=231,
H50*0.005,
IF(H50&lt;=693,
231*0.005+(H50-231)*0.02,
231*0.005+462*0.02+(H50-693)*0.045
))</f>
        <v>10.04682</v>
      </c>
      <c r="K50" s="7">
        <f>H50*0.04</f>
        <v>27.02364</v>
      </c>
      <c r="L50" s="7">
        <f>I50+J50+K50</f>
        <v>102.18866</v>
      </c>
      <c r="M50" s="7">
        <f>H50-L50</f>
        <v>573.40233999999998</v>
      </c>
    </row>
    <row r="51" spans="1:13" x14ac:dyDescent="0.3">
      <c r="A51" t="s">
        <v>71</v>
      </c>
      <c r="B51" t="s">
        <v>21</v>
      </c>
      <c r="C51" s="7">
        <v>19.05</v>
      </c>
      <c r="D51" s="8">
        <v>35.6</v>
      </c>
      <c r="E51" s="8">
        <f>MAX(0, D51-40)</f>
        <v>0</v>
      </c>
      <c r="F51" s="7">
        <f>MIN(D51,40)*C51</f>
        <v>678.18000000000006</v>
      </c>
      <c r="G51" s="9">
        <f>E51 * C51 * 1.5</f>
        <v>0</v>
      </c>
      <c r="H51" s="7">
        <f>F51+G51</f>
        <v>678.18000000000006</v>
      </c>
      <c r="I51" s="7">
        <f>MAX(0,
IF(H51&lt;=800,
H51*0.2,
800*0.2+(H51-800)*0.4
)-70
)</f>
        <v>65.636000000000024</v>
      </c>
      <c r="J51" s="7">
        <f>IF(H51&lt;=231,
H51*0.005,
IF(H51&lt;=693,
231*0.005+(H51-231)*0.02,
231*0.005+462*0.02+(H51-693)*0.045
))</f>
        <v>10.098600000000001</v>
      </c>
      <c r="K51" s="7">
        <f>H51*0.04</f>
        <v>27.127200000000002</v>
      </c>
      <c r="L51" s="7">
        <f>I51+J51+K51</f>
        <v>102.86180000000003</v>
      </c>
      <c r="M51" s="7">
        <f>H51-L51</f>
        <v>575.31820000000005</v>
      </c>
    </row>
    <row r="52" spans="1:13" x14ac:dyDescent="0.3">
      <c r="A52" t="s">
        <v>430</v>
      </c>
      <c r="B52" t="s">
        <v>66</v>
      </c>
      <c r="C52" s="7">
        <v>18.190000000000001</v>
      </c>
      <c r="D52" s="8">
        <v>37.299999999999997</v>
      </c>
      <c r="E52" s="8">
        <f>MAX(0, D52-40)</f>
        <v>0</v>
      </c>
      <c r="F52" s="7">
        <f>MIN(D52,40)*C52</f>
        <v>678.48699999999997</v>
      </c>
      <c r="G52" s="9">
        <f>E52 * C52 * 1.5</f>
        <v>0</v>
      </c>
      <c r="H52" s="7">
        <f>F52+G52</f>
        <v>678.48699999999997</v>
      </c>
      <c r="I52" s="7">
        <f>MAX(0,
IF(H52&lt;=800,
H52*0.2,
800*0.2+(H52-800)*0.4
)-70
)</f>
        <v>65.697399999999988</v>
      </c>
      <c r="J52" s="7">
        <f>IF(H52&lt;=231,
H52*0.005,
IF(H52&lt;=693,
231*0.005+(H52-231)*0.02,
231*0.005+462*0.02+(H52-693)*0.045
))</f>
        <v>10.10474</v>
      </c>
      <c r="K52" s="7">
        <f>H52*0.04</f>
        <v>27.139479999999999</v>
      </c>
      <c r="L52" s="7">
        <f>I52+J52+K52</f>
        <v>102.94161999999997</v>
      </c>
      <c r="M52" s="7">
        <f>H52-L52</f>
        <v>575.54538000000002</v>
      </c>
    </row>
    <row r="53" spans="1:13" x14ac:dyDescent="0.3">
      <c r="A53" t="s">
        <v>95</v>
      </c>
      <c r="B53" t="s">
        <v>43</v>
      </c>
      <c r="C53" s="7">
        <v>16.02</v>
      </c>
      <c r="D53" s="8">
        <v>41.6</v>
      </c>
      <c r="E53" s="8">
        <f>MAX(0, D53-40)</f>
        <v>1.6000000000000014</v>
      </c>
      <c r="F53" s="7">
        <f>MIN(D53,40)*C53</f>
        <v>640.79999999999995</v>
      </c>
      <c r="G53" s="9">
        <f>E53 * C53 * 1.5</f>
        <v>38.448000000000036</v>
      </c>
      <c r="H53" s="7">
        <f>F53+G53</f>
        <v>679.24800000000005</v>
      </c>
      <c r="I53" s="7">
        <f>MAX(0,
IF(H53&lt;=800,
H53*0.2,
800*0.2+(H53-800)*0.4
)-70
)</f>
        <v>65.849600000000009</v>
      </c>
      <c r="J53" s="7">
        <f>IF(H53&lt;=231,
H53*0.005,
IF(H53&lt;=693,
231*0.005+(H53-231)*0.02,
231*0.005+462*0.02+(H53-693)*0.045
))</f>
        <v>10.119960000000001</v>
      </c>
      <c r="K53" s="7">
        <f>H53*0.04</f>
        <v>27.169920000000001</v>
      </c>
      <c r="L53" s="7">
        <f>I53+J53+K53</f>
        <v>103.13948000000002</v>
      </c>
      <c r="M53" s="7">
        <f>H53-L53</f>
        <v>576.10852</v>
      </c>
    </row>
    <row r="54" spans="1:13" x14ac:dyDescent="0.3">
      <c r="A54" t="s">
        <v>291</v>
      </c>
      <c r="B54" t="s">
        <v>145</v>
      </c>
      <c r="C54" s="7">
        <v>15.48</v>
      </c>
      <c r="D54" s="8">
        <v>42.6</v>
      </c>
      <c r="E54" s="8">
        <f>MAX(0, D54-40)</f>
        <v>2.6000000000000014</v>
      </c>
      <c r="F54" s="7">
        <f>MIN(D54,40)*C54</f>
        <v>619.20000000000005</v>
      </c>
      <c r="G54" s="9">
        <f>E54 * C54 * 1.5</f>
        <v>60.372000000000043</v>
      </c>
      <c r="H54" s="7">
        <f>F54+G54</f>
        <v>679.57200000000012</v>
      </c>
      <c r="I54" s="7">
        <f>MAX(0,
IF(H54&lt;=800,
H54*0.2,
800*0.2+(H54-800)*0.4
)-70
)</f>
        <v>65.914400000000029</v>
      </c>
      <c r="J54" s="7">
        <f>IF(H54&lt;=231,
H54*0.005,
IF(H54&lt;=693,
231*0.005+(H54-231)*0.02,
231*0.005+462*0.02+(H54-693)*0.045
))</f>
        <v>10.126440000000002</v>
      </c>
      <c r="K54" s="7">
        <f>H54*0.04</f>
        <v>27.182880000000004</v>
      </c>
      <c r="L54" s="7">
        <f>I54+J54+K54</f>
        <v>103.22372000000004</v>
      </c>
      <c r="M54" s="7">
        <f>H54-L54</f>
        <v>576.34828000000005</v>
      </c>
    </row>
    <row r="55" spans="1:13" x14ac:dyDescent="0.3">
      <c r="A55" t="s">
        <v>89</v>
      </c>
      <c r="B55" t="s">
        <v>43</v>
      </c>
      <c r="C55" s="7">
        <v>18.32</v>
      </c>
      <c r="D55" s="8">
        <v>37.1</v>
      </c>
      <c r="E55" s="8">
        <f>MAX(0, D55-40)</f>
        <v>0</v>
      </c>
      <c r="F55" s="7">
        <f>MIN(D55,40)*C55</f>
        <v>679.67200000000003</v>
      </c>
      <c r="G55" s="9">
        <f>E55 * C55 * 1.5</f>
        <v>0</v>
      </c>
      <c r="H55" s="7">
        <f>F55+G55</f>
        <v>679.67200000000003</v>
      </c>
      <c r="I55" s="7">
        <f>MAX(0,
IF(H55&lt;=800,
H55*0.2,
800*0.2+(H55-800)*0.4
)-70
)</f>
        <v>65.934400000000011</v>
      </c>
      <c r="J55" s="7">
        <f>IF(H55&lt;=231,
H55*0.005,
IF(H55&lt;=693,
231*0.005+(H55-231)*0.02,
231*0.005+462*0.02+(H55-693)*0.045
))</f>
        <v>10.128439999999999</v>
      </c>
      <c r="K55" s="7">
        <f>H55*0.04</f>
        <v>27.186880000000002</v>
      </c>
      <c r="L55" s="7">
        <f>I55+J55+K55</f>
        <v>103.24972000000001</v>
      </c>
      <c r="M55" s="7">
        <f>H55-L55</f>
        <v>576.42228</v>
      </c>
    </row>
    <row r="56" spans="1:13" x14ac:dyDescent="0.3">
      <c r="A56" t="s">
        <v>277</v>
      </c>
      <c r="B56" t="s">
        <v>66</v>
      </c>
      <c r="C56" s="7">
        <v>16.809999999999999</v>
      </c>
      <c r="D56" s="8">
        <v>40.299999999999997</v>
      </c>
      <c r="E56" s="8">
        <f>MAX(0, D56-40)</f>
        <v>0.29999999999999716</v>
      </c>
      <c r="F56" s="7">
        <f>MIN(D56,40)*C56</f>
        <v>672.4</v>
      </c>
      <c r="G56" s="9">
        <f>E56 * C56 * 1.5</f>
        <v>7.5644999999999278</v>
      </c>
      <c r="H56" s="7">
        <f>F56+G56</f>
        <v>679.96449999999993</v>
      </c>
      <c r="I56" s="7">
        <f>MAX(0,
IF(H56&lt;=800,
H56*0.2,
800*0.2+(H56-800)*0.4
)-70
)</f>
        <v>65.992899999999992</v>
      </c>
      <c r="J56" s="7">
        <f>IF(H56&lt;=231,
H56*0.005,
IF(H56&lt;=693,
231*0.005+(H56-231)*0.02,
231*0.005+462*0.02+(H56-693)*0.045
))</f>
        <v>10.134289999999998</v>
      </c>
      <c r="K56" s="7">
        <f>H56*0.04</f>
        <v>27.198579999999996</v>
      </c>
      <c r="L56" s="7">
        <f>I56+J56+K56</f>
        <v>103.32576999999998</v>
      </c>
      <c r="M56" s="7">
        <f>H56-L56</f>
        <v>576.6387299999999</v>
      </c>
    </row>
    <row r="57" spans="1:13" x14ac:dyDescent="0.3">
      <c r="A57" t="s">
        <v>234</v>
      </c>
      <c r="B57" t="s">
        <v>9</v>
      </c>
      <c r="C57" s="7">
        <v>18.350000000000001</v>
      </c>
      <c r="D57" s="8">
        <v>37.1</v>
      </c>
      <c r="E57" s="8">
        <f>MAX(0, D57-40)</f>
        <v>0</v>
      </c>
      <c r="F57" s="7">
        <f>MIN(D57,40)*C57</f>
        <v>680.78500000000008</v>
      </c>
      <c r="G57" s="9">
        <f>E57 * C57 * 1.5</f>
        <v>0</v>
      </c>
      <c r="H57" s="7">
        <f>F57+G57</f>
        <v>680.78500000000008</v>
      </c>
      <c r="I57" s="7">
        <f>MAX(0,
IF(H57&lt;=800,
H57*0.2,
800*0.2+(H57-800)*0.4
)-70
)</f>
        <v>66.157000000000011</v>
      </c>
      <c r="J57" s="7">
        <f>IF(H57&lt;=231,
H57*0.005,
IF(H57&lt;=693,
231*0.005+(H57-231)*0.02,
231*0.005+462*0.02+(H57-693)*0.045
))</f>
        <v>10.150700000000001</v>
      </c>
      <c r="K57" s="7">
        <f>H57*0.04</f>
        <v>27.231400000000004</v>
      </c>
      <c r="L57" s="7">
        <f>I57+J57+K57</f>
        <v>103.53910000000002</v>
      </c>
      <c r="M57" s="7">
        <f>H57-L57</f>
        <v>577.24590000000012</v>
      </c>
    </row>
    <row r="58" spans="1:13" x14ac:dyDescent="0.3">
      <c r="A58" t="s">
        <v>387</v>
      </c>
      <c r="B58" t="s">
        <v>9</v>
      </c>
      <c r="C58" s="7">
        <v>17.28</v>
      </c>
      <c r="D58" s="8">
        <v>39.5</v>
      </c>
      <c r="E58" s="8">
        <f>MAX(0, D58-40)</f>
        <v>0</v>
      </c>
      <c r="F58" s="7">
        <f>MIN(D58,40)*C58</f>
        <v>682.56000000000006</v>
      </c>
      <c r="G58" s="9">
        <f>E58 * C58 * 1.5</f>
        <v>0</v>
      </c>
      <c r="H58" s="7">
        <f>F58+G58</f>
        <v>682.56000000000006</v>
      </c>
      <c r="I58" s="7">
        <f>MAX(0,
IF(H58&lt;=800,
H58*0.2,
800*0.2+(H58-800)*0.4
)-70
)</f>
        <v>66.512000000000029</v>
      </c>
      <c r="J58" s="7">
        <f>IF(H58&lt;=231,
H58*0.005,
IF(H58&lt;=693,
231*0.005+(H58-231)*0.02,
231*0.005+462*0.02+(H58-693)*0.045
))</f>
        <v>10.186200000000001</v>
      </c>
      <c r="K58" s="7">
        <f>H58*0.04</f>
        <v>27.302400000000002</v>
      </c>
      <c r="L58" s="7">
        <f>I58+J58+K58</f>
        <v>104.00060000000003</v>
      </c>
      <c r="M58" s="7">
        <f>H58-L58</f>
        <v>578.55939999999998</v>
      </c>
    </row>
    <row r="59" spans="1:13" x14ac:dyDescent="0.3">
      <c r="A59" t="s">
        <v>174</v>
      </c>
      <c r="B59" t="s">
        <v>57</v>
      </c>
      <c r="C59" s="7">
        <v>19.420000000000002</v>
      </c>
      <c r="D59" s="8">
        <v>35.4</v>
      </c>
      <c r="E59" s="8">
        <f>MAX(0, D59-40)</f>
        <v>0</v>
      </c>
      <c r="F59" s="7">
        <f>MIN(D59,40)*C59</f>
        <v>687.46800000000007</v>
      </c>
      <c r="G59" s="9">
        <f>E59 * C59 * 1.5</f>
        <v>0</v>
      </c>
      <c r="H59" s="7">
        <f>F59+G59</f>
        <v>687.46800000000007</v>
      </c>
      <c r="I59" s="7">
        <f>MAX(0,
IF(H59&lt;=800,
H59*0.2,
800*0.2+(H59-800)*0.4
)-70
)</f>
        <v>67.493600000000015</v>
      </c>
      <c r="J59" s="7">
        <f>IF(H59&lt;=231,
H59*0.005,
IF(H59&lt;=693,
231*0.005+(H59-231)*0.02,
231*0.005+462*0.02+(H59-693)*0.045
))</f>
        <v>10.284360000000001</v>
      </c>
      <c r="K59" s="7">
        <f>H59*0.04</f>
        <v>27.498720000000002</v>
      </c>
      <c r="L59" s="7">
        <f>I59+J59+K59</f>
        <v>105.27668000000003</v>
      </c>
      <c r="M59" s="7">
        <f>H59-L59</f>
        <v>582.19132000000002</v>
      </c>
    </row>
    <row r="60" spans="1:13" x14ac:dyDescent="0.3">
      <c r="A60" t="s">
        <v>83</v>
      </c>
      <c r="B60" t="s">
        <v>7</v>
      </c>
      <c r="C60" s="7">
        <v>16.57</v>
      </c>
      <c r="D60" s="8">
        <v>41</v>
      </c>
      <c r="E60" s="8">
        <f>MAX(0, D60-40)</f>
        <v>1</v>
      </c>
      <c r="F60" s="7">
        <f>MIN(D60,40)*C60</f>
        <v>662.8</v>
      </c>
      <c r="G60" s="9">
        <f>E60 * C60 * 1.5</f>
        <v>24.855</v>
      </c>
      <c r="H60" s="7">
        <f>F60+G60</f>
        <v>687.65499999999997</v>
      </c>
      <c r="I60" s="7">
        <f>MAX(0,
IF(H60&lt;=800,
H60*0.2,
800*0.2+(H60-800)*0.4
)-70
)</f>
        <v>67.531000000000006</v>
      </c>
      <c r="J60" s="7">
        <f>IF(H60&lt;=231,
H60*0.005,
IF(H60&lt;=693,
231*0.005+(H60-231)*0.02,
231*0.005+462*0.02+(H60-693)*0.045
))</f>
        <v>10.288099999999998</v>
      </c>
      <c r="K60" s="7">
        <f>H60*0.04</f>
        <v>27.5062</v>
      </c>
      <c r="L60" s="7">
        <f>I60+J60+K60</f>
        <v>105.3253</v>
      </c>
      <c r="M60" s="7">
        <f>H60-L60</f>
        <v>582.3297</v>
      </c>
    </row>
    <row r="61" spans="1:13" x14ac:dyDescent="0.3">
      <c r="A61" t="s">
        <v>79</v>
      </c>
      <c r="B61" t="s">
        <v>27</v>
      </c>
      <c r="C61" s="7">
        <v>18.96</v>
      </c>
      <c r="D61" s="8">
        <v>36.299999999999997</v>
      </c>
      <c r="E61" s="8">
        <f>MAX(0, D61-40)</f>
        <v>0</v>
      </c>
      <c r="F61" s="7">
        <f>MIN(D61,40)*C61</f>
        <v>688.24799999999993</v>
      </c>
      <c r="G61" s="9">
        <f>E61 * C61 * 1.5</f>
        <v>0</v>
      </c>
      <c r="H61" s="7">
        <f>F61+G61</f>
        <v>688.24799999999993</v>
      </c>
      <c r="I61" s="7">
        <f>MAX(0,
IF(H61&lt;=800,
H61*0.2,
800*0.2+(H61-800)*0.4
)-70
)</f>
        <v>67.649599999999992</v>
      </c>
      <c r="J61" s="7">
        <f>IF(H61&lt;=231,
H61*0.005,
IF(H61&lt;=693,
231*0.005+(H61-231)*0.02,
231*0.005+462*0.02+(H61-693)*0.045
))</f>
        <v>10.299959999999999</v>
      </c>
      <c r="K61" s="7">
        <f>H61*0.04</f>
        <v>27.529919999999997</v>
      </c>
      <c r="L61" s="7">
        <f>I61+J61+K61</f>
        <v>105.47948</v>
      </c>
      <c r="M61" s="7">
        <f>H61-L61</f>
        <v>582.76851999999997</v>
      </c>
    </row>
    <row r="62" spans="1:13" x14ac:dyDescent="0.3">
      <c r="A62" t="s">
        <v>251</v>
      </c>
      <c r="B62" t="s">
        <v>9</v>
      </c>
      <c r="C62" s="7">
        <v>16.84</v>
      </c>
      <c r="D62" s="8">
        <v>40.6</v>
      </c>
      <c r="E62" s="8">
        <f>MAX(0, D62-40)</f>
        <v>0.60000000000000142</v>
      </c>
      <c r="F62" s="7">
        <f>MIN(D62,40)*C62</f>
        <v>673.6</v>
      </c>
      <c r="G62" s="9">
        <f>E62 * C62 * 1.5</f>
        <v>15.156000000000036</v>
      </c>
      <c r="H62" s="7">
        <f>F62+G62</f>
        <v>688.75600000000009</v>
      </c>
      <c r="I62" s="7">
        <f>MAX(0,
IF(H62&lt;=800,
H62*0.2,
800*0.2+(H62-800)*0.4
)-70
)</f>
        <v>67.751200000000011</v>
      </c>
      <c r="J62" s="7">
        <f>IF(H62&lt;=231,
H62*0.005,
IF(H62&lt;=693,
231*0.005+(H62-231)*0.02,
231*0.005+462*0.02+(H62-693)*0.045
))</f>
        <v>10.310120000000001</v>
      </c>
      <c r="K62" s="7">
        <f>H62*0.04</f>
        <v>27.550240000000002</v>
      </c>
      <c r="L62" s="7">
        <f>I62+J62+K62</f>
        <v>105.61156000000001</v>
      </c>
      <c r="M62" s="7">
        <f>H62-L62</f>
        <v>583.14444000000003</v>
      </c>
    </row>
    <row r="63" spans="1:13" x14ac:dyDescent="0.3">
      <c r="A63" t="s">
        <v>108</v>
      </c>
      <c r="B63" t="s">
        <v>43</v>
      </c>
      <c r="C63" s="7">
        <v>16.72</v>
      </c>
      <c r="D63" s="8">
        <v>40.799999999999997</v>
      </c>
      <c r="E63" s="8">
        <f>MAX(0, D63-40)</f>
        <v>0.79999999999999716</v>
      </c>
      <c r="F63" s="7">
        <f>MIN(D63,40)*C63</f>
        <v>668.8</v>
      </c>
      <c r="G63" s="9">
        <f>E63 * C63 * 1.5</f>
        <v>20.063999999999929</v>
      </c>
      <c r="H63" s="7">
        <f>F63+G63</f>
        <v>688.86399999999992</v>
      </c>
      <c r="I63" s="7">
        <f>MAX(0,
IF(H63&lt;=800,
H63*0.2,
800*0.2+(H63-800)*0.4
)-70
)</f>
        <v>67.772799999999989</v>
      </c>
      <c r="J63" s="7">
        <f>IF(H63&lt;=231,
H63*0.005,
IF(H63&lt;=693,
231*0.005+(H63-231)*0.02,
231*0.005+462*0.02+(H63-693)*0.045
))</f>
        <v>10.312279999999998</v>
      </c>
      <c r="K63" s="7">
        <f>H63*0.04</f>
        <v>27.554559999999999</v>
      </c>
      <c r="L63" s="7">
        <f>I63+J63+K63</f>
        <v>105.63963999999999</v>
      </c>
      <c r="M63" s="7">
        <f>H63-L63</f>
        <v>583.22435999999993</v>
      </c>
    </row>
    <row r="64" spans="1:13" x14ac:dyDescent="0.3">
      <c r="A64" t="s">
        <v>284</v>
      </c>
      <c r="B64" t="s">
        <v>43</v>
      </c>
      <c r="C64" s="7">
        <v>16.989999999999998</v>
      </c>
      <c r="D64" s="8">
        <v>40.4</v>
      </c>
      <c r="E64" s="8">
        <f>MAX(0, D64-40)</f>
        <v>0.39999999999999858</v>
      </c>
      <c r="F64" s="7">
        <f>MIN(D64,40)*C64</f>
        <v>679.59999999999991</v>
      </c>
      <c r="G64" s="9">
        <f>E64 * C64 * 1.5</f>
        <v>10.193999999999964</v>
      </c>
      <c r="H64" s="7">
        <f>F64+G64</f>
        <v>689.79399999999987</v>
      </c>
      <c r="I64" s="7">
        <f>MAX(0,
IF(H64&lt;=800,
H64*0.2,
800*0.2+(H64-800)*0.4
)-70
)</f>
        <v>67.958799999999968</v>
      </c>
      <c r="J64" s="7">
        <f>IF(H64&lt;=231,
H64*0.005,
IF(H64&lt;=693,
231*0.005+(H64-231)*0.02,
231*0.005+462*0.02+(H64-693)*0.045
))</f>
        <v>10.330879999999997</v>
      </c>
      <c r="K64" s="7">
        <f>H64*0.04</f>
        <v>27.591759999999994</v>
      </c>
      <c r="L64" s="7">
        <f>I64+J64+K64</f>
        <v>105.88143999999996</v>
      </c>
      <c r="M64" s="7">
        <f>H64-L64</f>
        <v>583.91255999999987</v>
      </c>
    </row>
    <row r="65" spans="1:13" x14ac:dyDescent="0.3">
      <c r="A65" t="s">
        <v>458</v>
      </c>
      <c r="B65" t="s">
        <v>209</v>
      </c>
      <c r="C65" s="7">
        <v>16.38</v>
      </c>
      <c r="D65" s="8">
        <v>41.5</v>
      </c>
      <c r="E65" s="8">
        <f>MAX(0, D65-40)</f>
        <v>1.5</v>
      </c>
      <c r="F65" s="7">
        <f>MIN(D65,40)*C65</f>
        <v>655.19999999999993</v>
      </c>
      <c r="G65" s="9">
        <f>E65 * C65 * 1.5</f>
        <v>36.855000000000004</v>
      </c>
      <c r="H65" s="7">
        <f>F65+G65</f>
        <v>692.05499999999995</v>
      </c>
      <c r="I65" s="7">
        <f>MAX(0,
IF(H65&lt;=800,
H65*0.2,
800*0.2+(H65-800)*0.4
)-70
)</f>
        <v>68.411000000000001</v>
      </c>
      <c r="J65" s="7">
        <f>IF(H65&lt;=231,
H65*0.005,
IF(H65&lt;=693,
231*0.005+(H65-231)*0.02,
231*0.005+462*0.02+(H65-693)*0.045
))</f>
        <v>10.376099999999999</v>
      </c>
      <c r="K65" s="7">
        <f>H65*0.04</f>
        <v>27.682199999999998</v>
      </c>
      <c r="L65" s="7">
        <f>I65+J65+K65</f>
        <v>106.46929999999999</v>
      </c>
      <c r="M65" s="7">
        <f>H65-L65</f>
        <v>585.58569999999997</v>
      </c>
    </row>
    <row r="66" spans="1:13" x14ac:dyDescent="0.3">
      <c r="A66" t="s">
        <v>342</v>
      </c>
      <c r="B66" t="s">
        <v>145</v>
      </c>
      <c r="C66" s="7">
        <v>18.670000000000002</v>
      </c>
      <c r="D66" s="8">
        <v>37.1</v>
      </c>
      <c r="E66" s="8">
        <f>MAX(0, D66-40)</f>
        <v>0</v>
      </c>
      <c r="F66" s="7">
        <f>MIN(D66,40)*C66</f>
        <v>692.65700000000004</v>
      </c>
      <c r="G66" s="9">
        <f>E66 * C66 * 1.5</f>
        <v>0</v>
      </c>
      <c r="H66" s="7">
        <f>F66+G66</f>
        <v>692.65700000000004</v>
      </c>
      <c r="I66" s="7">
        <f>MAX(0,
IF(H66&lt;=800,
H66*0.2,
800*0.2+(H66-800)*0.4
)-70
)</f>
        <v>68.531400000000019</v>
      </c>
      <c r="J66" s="7">
        <f>IF(H66&lt;=231,
H66*0.005,
IF(H66&lt;=693,
231*0.005+(H66-231)*0.02,
231*0.005+462*0.02+(H66-693)*0.045
))</f>
        <v>10.38814</v>
      </c>
      <c r="K66" s="7">
        <f>H66*0.04</f>
        <v>27.706280000000003</v>
      </c>
      <c r="L66" s="7">
        <f>I66+J66+K66</f>
        <v>106.62582000000002</v>
      </c>
      <c r="M66" s="7">
        <f>H66-L66</f>
        <v>586.03118000000006</v>
      </c>
    </row>
    <row r="67" spans="1:13" x14ac:dyDescent="0.3">
      <c r="A67" t="s">
        <v>303</v>
      </c>
      <c r="B67" t="s">
        <v>55</v>
      </c>
      <c r="C67" s="7">
        <v>19.690000000000001</v>
      </c>
      <c r="D67" s="8">
        <v>35.200000000000003</v>
      </c>
      <c r="E67" s="8">
        <f>MAX(0, D67-40)</f>
        <v>0</v>
      </c>
      <c r="F67" s="7">
        <f>MIN(D67,40)*C67</f>
        <v>693.08800000000008</v>
      </c>
      <c r="G67" s="9">
        <f>E67 * C67 * 1.5</f>
        <v>0</v>
      </c>
      <c r="H67" s="7">
        <f>F67+G67</f>
        <v>693.08800000000008</v>
      </c>
      <c r="I67" s="7">
        <f>MAX(0,
IF(H67&lt;=800,
H67*0.2,
800*0.2+(H67-800)*0.4
)-70
)</f>
        <v>68.61760000000001</v>
      </c>
      <c r="J67" s="7">
        <f>IF(H67&lt;=231,
H67*0.005,
IF(H67&lt;=693,
231*0.005+(H67-231)*0.02,
231*0.005+462*0.02+(H67-693)*0.045
))</f>
        <v>10.398960000000002</v>
      </c>
      <c r="K67" s="7">
        <f>H67*0.04</f>
        <v>27.723520000000004</v>
      </c>
      <c r="L67" s="7">
        <f>I67+J67+K67</f>
        <v>106.74008000000002</v>
      </c>
      <c r="M67" s="7">
        <f>H67-L67</f>
        <v>586.34792000000004</v>
      </c>
    </row>
    <row r="68" spans="1:13" x14ac:dyDescent="0.3">
      <c r="A68" t="s">
        <v>226</v>
      </c>
      <c r="B68" t="s">
        <v>43</v>
      </c>
      <c r="C68" s="7">
        <v>19.579999999999998</v>
      </c>
      <c r="D68" s="8">
        <v>35.5</v>
      </c>
      <c r="E68" s="8">
        <f>MAX(0, D68-40)</f>
        <v>0</v>
      </c>
      <c r="F68" s="7">
        <f>MIN(D68,40)*C68</f>
        <v>695.08999999999992</v>
      </c>
      <c r="G68" s="9">
        <f>E68 * C68 * 1.5</f>
        <v>0</v>
      </c>
      <c r="H68" s="7">
        <f>F68+G68</f>
        <v>695.08999999999992</v>
      </c>
      <c r="I68" s="7">
        <f>MAX(0,
IF(H68&lt;=800,
H68*0.2,
800*0.2+(H68-800)*0.4
)-70
)</f>
        <v>69.018000000000001</v>
      </c>
      <c r="J68" s="7">
        <f>IF(H68&lt;=231,
H68*0.005,
IF(H68&lt;=693,
231*0.005+(H68-231)*0.02,
231*0.005+462*0.02+(H68-693)*0.045
))</f>
        <v>10.489049999999995</v>
      </c>
      <c r="K68" s="7">
        <f>H68*0.04</f>
        <v>27.803599999999996</v>
      </c>
      <c r="L68" s="7">
        <f>I68+J68+K68</f>
        <v>107.31064999999998</v>
      </c>
      <c r="M68" s="7">
        <f>H68-L68</f>
        <v>587.77934999999991</v>
      </c>
    </row>
    <row r="69" spans="1:13" x14ac:dyDescent="0.3">
      <c r="A69" t="s">
        <v>372</v>
      </c>
      <c r="B69" t="s">
        <v>11</v>
      </c>
      <c r="C69" s="7">
        <v>17.059999999999999</v>
      </c>
      <c r="D69" s="8">
        <v>40.5</v>
      </c>
      <c r="E69" s="8">
        <f>MAX(0, D69-40)</f>
        <v>0.5</v>
      </c>
      <c r="F69" s="7">
        <f>MIN(D69,40)*C69</f>
        <v>682.4</v>
      </c>
      <c r="G69" s="9">
        <f>E69 * C69 * 1.5</f>
        <v>12.794999999999998</v>
      </c>
      <c r="H69" s="7">
        <f>F69+G69</f>
        <v>695.19499999999994</v>
      </c>
      <c r="I69" s="7">
        <f>MAX(0,
IF(H69&lt;=800,
H69*0.2,
800*0.2+(H69-800)*0.4
)-70
)</f>
        <v>69.038999999999987</v>
      </c>
      <c r="J69" s="7">
        <f>IF(H69&lt;=231,
H69*0.005,
IF(H69&lt;=693,
231*0.005+(H69-231)*0.02,
231*0.005+462*0.02+(H69-693)*0.045
))</f>
        <v>10.493774999999996</v>
      </c>
      <c r="K69" s="7">
        <f>H69*0.04</f>
        <v>27.807799999999997</v>
      </c>
      <c r="L69" s="7">
        <f>I69+J69+K69</f>
        <v>107.34057499999999</v>
      </c>
      <c r="M69" s="7">
        <f>H69-L69</f>
        <v>587.85442499999999</v>
      </c>
    </row>
    <row r="70" spans="1:13" x14ac:dyDescent="0.3">
      <c r="A70" t="s">
        <v>309</v>
      </c>
      <c r="B70" t="s">
        <v>43</v>
      </c>
      <c r="C70" s="7">
        <v>18.2</v>
      </c>
      <c r="D70" s="8">
        <v>38.299999999999997</v>
      </c>
      <c r="E70" s="8">
        <f>MAX(0, D70-40)</f>
        <v>0</v>
      </c>
      <c r="F70" s="7">
        <f>MIN(D70,40)*C70</f>
        <v>697.06</v>
      </c>
      <c r="G70" s="9">
        <f>E70 * C70 * 1.5</f>
        <v>0</v>
      </c>
      <c r="H70" s="7">
        <f>F70+G70</f>
        <v>697.06</v>
      </c>
      <c r="I70" s="7">
        <f>MAX(0,
IF(H70&lt;=800,
H70*0.2,
800*0.2+(H70-800)*0.4
)-70
)</f>
        <v>69.412000000000006</v>
      </c>
      <c r="J70" s="7">
        <f>IF(H70&lt;=231,
H70*0.005,
IF(H70&lt;=693,
231*0.005+(H70-231)*0.02,
231*0.005+462*0.02+(H70-693)*0.045
))</f>
        <v>10.577699999999997</v>
      </c>
      <c r="K70" s="7">
        <f>H70*0.04</f>
        <v>27.882399999999997</v>
      </c>
      <c r="L70" s="7">
        <f>I70+J70+K70</f>
        <v>107.87209999999999</v>
      </c>
      <c r="M70" s="7">
        <f>H70-L70</f>
        <v>589.1878999999999</v>
      </c>
    </row>
    <row r="71" spans="1:13" x14ac:dyDescent="0.3">
      <c r="A71" t="s">
        <v>128</v>
      </c>
      <c r="B71" t="s">
        <v>66</v>
      </c>
      <c r="C71" s="7">
        <v>16.14</v>
      </c>
      <c r="D71" s="8">
        <v>42.2</v>
      </c>
      <c r="E71" s="8">
        <f>MAX(0, D71-40)</f>
        <v>2.2000000000000028</v>
      </c>
      <c r="F71" s="7">
        <f>MIN(D71,40)*C71</f>
        <v>645.6</v>
      </c>
      <c r="G71" s="9">
        <f>E71 * C71 * 1.5</f>
        <v>53.262000000000072</v>
      </c>
      <c r="H71" s="7">
        <f>F71+G71</f>
        <v>698.86200000000008</v>
      </c>
      <c r="I71" s="7">
        <f>MAX(0,
IF(H71&lt;=800,
H71*0.2,
800*0.2+(H71-800)*0.4
)-70
)</f>
        <v>69.772400000000033</v>
      </c>
      <c r="J71" s="7">
        <f>IF(H71&lt;=231,
H71*0.005,
IF(H71&lt;=693,
231*0.005+(H71-231)*0.02,
231*0.005+462*0.02+(H71-693)*0.045
))</f>
        <v>10.658790000000003</v>
      </c>
      <c r="K71" s="7">
        <f>H71*0.04</f>
        <v>27.954480000000004</v>
      </c>
      <c r="L71" s="7">
        <f>I71+J71+K71</f>
        <v>108.38567000000005</v>
      </c>
      <c r="M71" s="7">
        <f>H71-L71</f>
        <v>590.47633000000008</v>
      </c>
    </row>
    <row r="72" spans="1:13" x14ac:dyDescent="0.3">
      <c r="A72" t="s">
        <v>316</v>
      </c>
      <c r="B72" t="s">
        <v>37</v>
      </c>
      <c r="C72" s="7">
        <v>16.850000000000001</v>
      </c>
      <c r="D72" s="8">
        <v>41.1</v>
      </c>
      <c r="E72" s="8">
        <f>MAX(0, D72-40)</f>
        <v>1.1000000000000014</v>
      </c>
      <c r="F72" s="7">
        <f>MIN(D72,40)*C72</f>
        <v>674</v>
      </c>
      <c r="G72" s="9">
        <f>E72 * C72 * 1.5</f>
        <v>27.802500000000038</v>
      </c>
      <c r="H72" s="7">
        <f>F72+G72</f>
        <v>701.80250000000001</v>
      </c>
      <c r="I72" s="7">
        <f>MAX(0,
IF(H72&lt;=800,
H72*0.2,
800*0.2+(H72-800)*0.4
)-70
)</f>
        <v>70.360500000000002</v>
      </c>
      <c r="J72" s="7">
        <f>IF(H72&lt;=231,
H72*0.005,
IF(H72&lt;=693,
231*0.005+(H72-231)*0.02,
231*0.005+462*0.02+(H72-693)*0.045
))</f>
        <v>10.791112500000001</v>
      </c>
      <c r="K72" s="7">
        <f>H72*0.04</f>
        <v>28.072100000000002</v>
      </c>
      <c r="L72" s="7">
        <f>I72+J72+K72</f>
        <v>109.2237125</v>
      </c>
      <c r="M72" s="7">
        <f>H72-L72</f>
        <v>592.57878749999998</v>
      </c>
    </row>
    <row r="73" spans="1:13" x14ac:dyDescent="0.3">
      <c r="A73" t="s">
        <v>54</v>
      </c>
      <c r="B73" t="s">
        <v>37</v>
      </c>
      <c r="C73" s="7">
        <v>18.170000000000002</v>
      </c>
      <c r="D73" s="8">
        <v>38.700000000000003</v>
      </c>
      <c r="E73" s="8">
        <f>MAX(0, D73-40)</f>
        <v>0</v>
      </c>
      <c r="F73" s="7">
        <f>MIN(D73,40)*C73</f>
        <v>703.17900000000009</v>
      </c>
      <c r="G73" s="9">
        <f>E73 * C73 * 1.5</f>
        <v>0</v>
      </c>
      <c r="H73" s="7">
        <f>F73+G73</f>
        <v>703.17900000000009</v>
      </c>
      <c r="I73" s="7">
        <f>MAX(0,
IF(H73&lt;=800,
H73*0.2,
800*0.2+(H73-800)*0.4
)-70
)</f>
        <v>70.635800000000017</v>
      </c>
      <c r="J73" s="7">
        <f>IF(H73&lt;=231,
H73*0.005,
IF(H73&lt;=693,
231*0.005+(H73-231)*0.02,
231*0.005+462*0.02+(H73-693)*0.045
))</f>
        <v>10.853055000000003</v>
      </c>
      <c r="K73" s="7">
        <f>H73*0.04</f>
        <v>28.127160000000003</v>
      </c>
      <c r="L73" s="7">
        <f>I73+J73+K73</f>
        <v>109.61601500000002</v>
      </c>
      <c r="M73" s="7">
        <f>H73-L73</f>
        <v>593.56298500000003</v>
      </c>
    </row>
    <row r="74" spans="1:13" x14ac:dyDescent="0.3">
      <c r="A74" t="s">
        <v>142</v>
      </c>
      <c r="B74" t="s">
        <v>99</v>
      </c>
      <c r="C74" s="7">
        <v>17.13</v>
      </c>
      <c r="D74" s="8">
        <v>40.700000000000003</v>
      </c>
      <c r="E74" s="8">
        <f>MAX(0, D74-40)</f>
        <v>0.70000000000000284</v>
      </c>
      <c r="F74" s="7">
        <f>MIN(D74,40)*C74</f>
        <v>685.19999999999993</v>
      </c>
      <c r="G74" s="9">
        <f>E74 * C74 * 1.5</f>
        <v>17.986500000000071</v>
      </c>
      <c r="H74" s="7">
        <f>F74+G74</f>
        <v>703.18650000000002</v>
      </c>
      <c r="I74" s="7">
        <f>MAX(0,
IF(H74&lt;=800,
H74*0.2,
800*0.2+(H74-800)*0.4
)-70
)</f>
        <v>70.63730000000001</v>
      </c>
      <c r="J74" s="7">
        <f>IF(H74&lt;=231,
H74*0.005,
IF(H74&lt;=693,
231*0.005+(H74-231)*0.02,
231*0.005+462*0.02+(H74-693)*0.045
))</f>
        <v>10.8533925</v>
      </c>
      <c r="K74" s="7">
        <f>H74*0.04</f>
        <v>28.127460000000003</v>
      </c>
      <c r="L74" s="7">
        <f>I74+J74+K74</f>
        <v>109.61815250000001</v>
      </c>
      <c r="M74" s="7">
        <f>H74-L74</f>
        <v>593.56834750000007</v>
      </c>
    </row>
    <row r="75" spans="1:13" x14ac:dyDescent="0.3">
      <c r="A75" t="s">
        <v>163</v>
      </c>
      <c r="B75" t="s">
        <v>29</v>
      </c>
      <c r="C75" s="7">
        <v>16.420000000000002</v>
      </c>
      <c r="D75" s="8">
        <v>41.9</v>
      </c>
      <c r="E75" s="8">
        <f>MAX(0, D75-40)</f>
        <v>1.8999999999999986</v>
      </c>
      <c r="F75" s="7">
        <f>MIN(D75,40)*C75</f>
        <v>656.80000000000007</v>
      </c>
      <c r="G75" s="9">
        <f>E75 * C75 * 1.5</f>
        <v>46.796999999999969</v>
      </c>
      <c r="H75" s="7">
        <f>F75+G75</f>
        <v>703.59699999999998</v>
      </c>
      <c r="I75" s="7">
        <f>MAX(0,
IF(H75&lt;=800,
H75*0.2,
800*0.2+(H75-800)*0.4
)-70
)</f>
        <v>70.719400000000007</v>
      </c>
      <c r="J75" s="7">
        <f>IF(H75&lt;=231,
H75*0.005,
IF(H75&lt;=693,
231*0.005+(H75-231)*0.02,
231*0.005+462*0.02+(H75-693)*0.045
))</f>
        <v>10.871864999999998</v>
      </c>
      <c r="K75" s="7">
        <f>H75*0.04</f>
        <v>28.143879999999999</v>
      </c>
      <c r="L75" s="7">
        <f>I75+J75+K75</f>
        <v>109.735145</v>
      </c>
      <c r="M75" s="7">
        <f>H75-L75</f>
        <v>593.86185499999999</v>
      </c>
    </row>
    <row r="76" spans="1:13" x14ac:dyDescent="0.3">
      <c r="A76" t="s">
        <v>349</v>
      </c>
      <c r="B76" t="s">
        <v>55</v>
      </c>
      <c r="C76" s="7">
        <v>18.14</v>
      </c>
      <c r="D76" s="8">
        <v>38.9</v>
      </c>
      <c r="E76" s="8">
        <f>MAX(0, D76-40)</f>
        <v>0</v>
      </c>
      <c r="F76" s="7">
        <f>MIN(D76,40)*C76</f>
        <v>705.64599999999996</v>
      </c>
      <c r="G76" s="9">
        <f>E76 * C76 * 1.5</f>
        <v>0</v>
      </c>
      <c r="H76" s="7">
        <f>F76+G76</f>
        <v>705.64599999999996</v>
      </c>
      <c r="I76" s="7">
        <f>MAX(0,
IF(H76&lt;=800,
H76*0.2,
800*0.2+(H76-800)*0.4
)-70
)</f>
        <v>71.129199999999997</v>
      </c>
      <c r="J76" s="7">
        <f>IF(H76&lt;=231,
H76*0.005,
IF(H76&lt;=693,
231*0.005+(H76-231)*0.02,
231*0.005+462*0.02+(H76-693)*0.045
))</f>
        <v>10.964069999999998</v>
      </c>
      <c r="K76" s="7">
        <f>H76*0.04</f>
        <v>28.225839999999998</v>
      </c>
      <c r="L76" s="7">
        <f>I76+J76+K76</f>
        <v>110.31910999999999</v>
      </c>
      <c r="M76" s="7">
        <f>H76-L76</f>
        <v>595.32688999999993</v>
      </c>
    </row>
    <row r="77" spans="1:13" x14ac:dyDescent="0.3">
      <c r="A77" t="s">
        <v>70</v>
      </c>
      <c r="B77" t="s">
        <v>13</v>
      </c>
      <c r="C77" s="7">
        <v>16.23</v>
      </c>
      <c r="D77" s="8">
        <v>42.4</v>
      </c>
      <c r="E77" s="8">
        <f>MAX(0, D77-40)</f>
        <v>2.3999999999999986</v>
      </c>
      <c r="F77" s="7">
        <f>MIN(D77,40)*C77</f>
        <v>649.20000000000005</v>
      </c>
      <c r="G77" s="9">
        <f>E77 * C77 * 1.5</f>
        <v>58.427999999999969</v>
      </c>
      <c r="H77" s="7">
        <f>F77+G77</f>
        <v>707.62800000000004</v>
      </c>
      <c r="I77" s="7">
        <f>MAX(0,
IF(H77&lt;=800,
H77*0.2,
800*0.2+(H77-800)*0.4
)-70
)</f>
        <v>71.525600000000026</v>
      </c>
      <c r="J77" s="7">
        <f>IF(H77&lt;=231,
H77*0.005,
IF(H77&lt;=693,
231*0.005+(H77-231)*0.02,
231*0.005+462*0.02+(H77-693)*0.045
))</f>
        <v>11.053260000000002</v>
      </c>
      <c r="K77" s="7">
        <f>H77*0.04</f>
        <v>28.305120000000002</v>
      </c>
      <c r="L77" s="7">
        <f>I77+J77+K77</f>
        <v>110.88398000000002</v>
      </c>
      <c r="M77" s="7">
        <f>H77-L77</f>
        <v>596.74401999999998</v>
      </c>
    </row>
    <row r="78" spans="1:13" x14ac:dyDescent="0.3">
      <c r="A78" t="s">
        <v>115</v>
      </c>
      <c r="B78" t="s">
        <v>101</v>
      </c>
      <c r="C78" s="7">
        <v>15.13</v>
      </c>
      <c r="D78" s="8">
        <v>44.6</v>
      </c>
      <c r="E78" s="8">
        <f>MAX(0, D78-40)</f>
        <v>4.6000000000000014</v>
      </c>
      <c r="F78" s="7">
        <f>MIN(D78,40)*C78</f>
        <v>605.20000000000005</v>
      </c>
      <c r="G78" s="9">
        <f>E78 * C78 * 1.5</f>
        <v>104.39700000000005</v>
      </c>
      <c r="H78" s="7">
        <f>F78+G78</f>
        <v>709.59700000000009</v>
      </c>
      <c r="I78" s="7">
        <f>MAX(0,
IF(H78&lt;=800,
H78*0.2,
800*0.2+(H78-800)*0.4
)-70
)</f>
        <v>71.919400000000024</v>
      </c>
      <c r="J78" s="7">
        <f>IF(H78&lt;=231,
H78*0.005,
IF(H78&lt;=693,
231*0.005+(H78-231)*0.02,
231*0.005+462*0.02+(H78-693)*0.045
))</f>
        <v>11.141865000000005</v>
      </c>
      <c r="K78" s="7">
        <f>H78*0.04</f>
        <v>28.383880000000005</v>
      </c>
      <c r="L78" s="7">
        <f>I78+J78+K78</f>
        <v>111.44514500000004</v>
      </c>
      <c r="M78" s="7">
        <f>H78-L78</f>
        <v>598.15185500000007</v>
      </c>
    </row>
    <row r="79" spans="1:13" x14ac:dyDescent="0.3">
      <c r="A79" t="s">
        <v>335</v>
      </c>
      <c r="B79" t="s">
        <v>13</v>
      </c>
      <c r="C79" s="7">
        <v>15.18</v>
      </c>
      <c r="D79" s="8">
        <v>44.5</v>
      </c>
      <c r="E79" s="8">
        <f>MAX(0, D79-40)</f>
        <v>4.5</v>
      </c>
      <c r="F79" s="7">
        <f>MIN(D79,40)*C79</f>
        <v>607.20000000000005</v>
      </c>
      <c r="G79" s="9">
        <f>E79 * C79 * 1.5</f>
        <v>102.465</v>
      </c>
      <c r="H79" s="7">
        <f>F79+G79</f>
        <v>709.66500000000008</v>
      </c>
      <c r="I79" s="7">
        <f>MAX(0,
IF(H79&lt;=800,
H79*0.2,
800*0.2+(H79-800)*0.4
)-70
)</f>
        <v>71.933000000000021</v>
      </c>
      <c r="J79" s="7">
        <f>IF(H79&lt;=231,
H79*0.005,
IF(H79&lt;=693,
231*0.005+(H79-231)*0.02,
231*0.005+462*0.02+(H79-693)*0.045
))</f>
        <v>11.144925000000002</v>
      </c>
      <c r="K79" s="7">
        <f>H79*0.04</f>
        <v>28.386600000000005</v>
      </c>
      <c r="L79" s="7">
        <f>I79+J79+K79</f>
        <v>111.46452500000002</v>
      </c>
      <c r="M79" s="7">
        <f>H79-L79</f>
        <v>598.2004750000001</v>
      </c>
    </row>
    <row r="80" spans="1:13" x14ac:dyDescent="0.3">
      <c r="A80" t="s">
        <v>276</v>
      </c>
      <c r="B80" t="s">
        <v>49</v>
      </c>
      <c r="C80" s="7">
        <v>19.350000000000001</v>
      </c>
      <c r="D80" s="8">
        <v>36.700000000000003</v>
      </c>
      <c r="E80" s="8">
        <f>MAX(0, D80-40)</f>
        <v>0</v>
      </c>
      <c r="F80" s="7">
        <f>MIN(D80,40)*C80</f>
        <v>710.1450000000001</v>
      </c>
      <c r="G80" s="9">
        <f>E80 * C80 * 1.5</f>
        <v>0</v>
      </c>
      <c r="H80" s="7">
        <f>F80+G80</f>
        <v>710.1450000000001</v>
      </c>
      <c r="I80" s="7">
        <f>MAX(0,
IF(H80&lt;=800,
H80*0.2,
800*0.2+(H80-800)*0.4
)-70
)</f>
        <v>72.029000000000025</v>
      </c>
      <c r="J80" s="7">
        <f>IF(H80&lt;=231,
H80*0.005,
IF(H80&lt;=693,
231*0.005+(H80-231)*0.02,
231*0.005+462*0.02+(H80-693)*0.045
))</f>
        <v>11.166525000000004</v>
      </c>
      <c r="K80" s="7">
        <f>H80*0.04</f>
        <v>28.405800000000003</v>
      </c>
      <c r="L80" s="7">
        <f>I80+J80+K80</f>
        <v>111.60132500000003</v>
      </c>
      <c r="M80" s="7">
        <f>H80-L80</f>
        <v>598.54367500000012</v>
      </c>
    </row>
    <row r="81" spans="1:13" x14ac:dyDescent="0.3">
      <c r="A81" t="s">
        <v>164</v>
      </c>
      <c r="B81" t="s">
        <v>13</v>
      </c>
      <c r="C81" s="7">
        <v>18.989999999999998</v>
      </c>
      <c r="D81" s="8">
        <v>37.5</v>
      </c>
      <c r="E81" s="8">
        <f>MAX(0, D81-40)</f>
        <v>0</v>
      </c>
      <c r="F81" s="7">
        <f>MIN(D81,40)*C81</f>
        <v>712.12499999999989</v>
      </c>
      <c r="G81" s="9">
        <f>E81 * C81 * 1.5</f>
        <v>0</v>
      </c>
      <c r="H81" s="7">
        <f>F81+G81</f>
        <v>712.12499999999989</v>
      </c>
      <c r="I81" s="7">
        <f>MAX(0,
IF(H81&lt;=800,
H81*0.2,
800*0.2+(H81-800)*0.4
)-70
)</f>
        <v>72.424999999999983</v>
      </c>
      <c r="J81" s="7">
        <f>IF(H81&lt;=231,
H81*0.005,
IF(H81&lt;=693,
231*0.005+(H81-231)*0.02,
231*0.005+462*0.02+(H81-693)*0.045
))</f>
        <v>11.255624999999995</v>
      </c>
      <c r="K81" s="7">
        <f>H81*0.04</f>
        <v>28.484999999999996</v>
      </c>
      <c r="L81" s="7">
        <f>I81+J81+K81</f>
        <v>112.16562499999998</v>
      </c>
      <c r="M81" s="7">
        <f>H81-L81</f>
        <v>599.95937499999991</v>
      </c>
    </row>
    <row r="82" spans="1:13" x14ac:dyDescent="0.3">
      <c r="A82" t="s">
        <v>236</v>
      </c>
      <c r="B82" t="s">
        <v>57</v>
      </c>
      <c r="C82" s="7">
        <v>15.64</v>
      </c>
      <c r="D82" s="8">
        <v>43.7</v>
      </c>
      <c r="E82" s="8">
        <f>MAX(0, D82-40)</f>
        <v>3.7000000000000028</v>
      </c>
      <c r="F82" s="7">
        <f>MIN(D82,40)*C82</f>
        <v>625.6</v>
      </c>
      <c r="G82" s="9">
        <f>E82 * C82 * 1.5</f>
        <v>86.802000000000064</v>
      </c>
      <c r="H82" s="7">
        <f>F82+G82</f>
        <v>712.40200000000004</v>
      </c>
      <c r="I82" s="7">
        <f>MAX(0,
IF(H82&lt;=800,
H82*0.2,
800*0.2+(H82-800)*0.4
)-70
)</f>
        <v>72.480400000000003</v>
      </c>
      <c r="J82" s="7">
        <f>IF(H82&lt;=231,
H82*0.005,
IF(H82&lt;=693,
231*0.005+(H82-231)*0.02,
231*0.005+462*0.02+(H82-693)*0.045
))</f>
        <v>11.268090000000001</v>
      </c>
      <c r="K82" s="7">
        <f>H82*0.04</f>
        <v>28.496080000000003</v>
      </c>
      <c r="L82" s="7">
        <f>I82+J82+K82</f>
        <v>112.24457000000001</v>
      </c>
      <c r="M82" s="7">
        <f>H82-L82</f>
        <v>600.15742999999998</v>
      </c>
    </row>
    <row r="83" spans="1:13" x14ac:dyDescent="0.3">
      <c r="A83" t="s">
        <v>175</v>
      </c>
      <c r="B83" t="s">
        <v>15</v>
      </c>
      <c r="C83" s="7">
        <v>19.190000000000001</v>
      </c>
      <c r="D83" s="8">
        <v>37.299999999999997</v>
      </c>
      <c r="E83" s="8">
        <f>MAX(0, D83-40)</f>
        <v>0</v>
      </c>
      <c r="F83" s="7">
        <f>MIN(D83,40)*C83</f>
        <v>715.78700000000003</v>
      </c>
      <c r="G83" s="9">
        <f>E83 * C83 * 1.5</f>
        <v>0</v>
      </c>
      <c r="H83" s="7">
        <f>F83+G83</f>
        <v>715.78700000000003</v>
      </c>
      <c r="I83" s="7">
        <f>MAX(0,
IF(H83&lt;=800,
H83*0.2,
800*0.2+(H83-800)*0.4
)-70
)</f>
        <v>73.157400000000024</v>
      </c>
      <c r="J83" s="7">
        <f>IF(H83&lt;=231,
H83*0.005,
IF(H83&lt;=693,
231*0.005+(H83-231)*0.02,
231*0.005+462*0.02+(H83-693)*0.045
))</f>
        <v>11.420415000000002</v>
      </c>
      <c r="K83" s="7">
        <f>H83*0.04</f>
        <v>28.631480000000003</v>
      </c>
      <c r="L83" s="7">
        <f>I83+J83+K83</f>
        <v>113.20929500000003</v>
      </c>
      <c r="M83" s="7">
        <f>H83-L83</f>
        <v>602.57770500000004</v>
      </c>
    </row>
    <row r="84" spans="1:13" x14ac:dyDescent="0.3">
      <c r="A84" t="s">
        <v>30</v>
      </c>
      <c r="B84" t="s">
        <v>9</v>
      </c>
      <c r="C84" s="7">
        <v>18.420000000000002</v>
      </c>
      <c r="D84" s="8">
        <v>39</v>
      </c>
      <c r="E84" s="8">
        <f>MAX(0, D84-40)</f>
        <v>0</v>
      </c>
      <c r="F84" s="7">
        <f>MIN(D84,40)*C84</f>
        <v>718.38000000000011</v>
      </c>
      <c r="G84" s="9">
        <f>E84 * C84 * 1.5</f>
        <v>0</v>
      </c>
      <c r="H84" s="7">
        <f>F84+G84</f>
        <v>718.38000000000011</v>
      </c>
      <c r="I84" s="7">
        <f>MAX(0,
IF(H84&lt;=800,
H84*0.2,
800*0.2+(H84-800)*0.4
)-70
)</f>
        <v>73.676000000000016</v>
      </c>
      <c r="J84" s="7">
        <f>IF(H84&lt;=231,
H84*0.005,
IF(H84&lt;=693,
231*0.005+(H84-231)*0.02,
231*0.005+462*0.02+(H84-693)*0.045
))</f>
        <v>11.537100000000004</v>
      </c>
      <c r="K84" s="7">
        <f>H84*0.04</f>
        <v>28.735200000000006</v>
      </c>
      <c r="L84" s="7">
        <f>I84+J84+K84</f>
        <v>113.94830000000003</v>
      </c>
      <c r="M84" s="7">
        <f>H84-L84</f>
        <v>604.43170000000009</v>
      </c>
    </row>
    <row r="85" spans="1:13" x14ac:dyDescent="0.3">
      <c r="A85" t="s">
        <v>179</v>
      </c>
      <c r="B85" t="s">
        <v>25</v>
      </c>
      <c r="C85" s="7">
        <v>19.97</v>
      </c>
      <c r="D85" s="8">
        <v>36</v>
      </c>
      <c r="E85" s="8">
        <f>MAX(0, D85-40)</f>
        <v>0</v>
      </c>
      <c r="F85" s="7">
        <f>MIN(D85,40)*C85</f>
        <v>718.92</v>
      </c>
      <c r="G85" s="9">
        <f>E85 * C85 * 1.5</f>
        <v>0</v>
      </c>
      <c r="H85" s="7">
        <f>F85+G85</f>
        <v>718.92</v>
      </c>
      <c r="I85" s="7">
        <f>MAX(0,
IF(H85&lt;=800,
H85*0.2,
800*0.2+(H85-800)*0.4
)-70
)</f>
        <v>73.783999999999992</v>
      </c>
      <c r="J85" s="7">
        <f>IF(H85&lt;=231,
H85*0.005,
IF(H85&lt;=693,
231*0.005+(H85-231)*0.02,
231*0.005+462*0.02+(H85-693)*0.045
))</f>
        <v>11.561399999999997</v>
      </c>
      <c r="K85" s="7">
        <f>H85*0.04</f>
        <v>28.756799999999998</v>
      </c>
      <c r="L85" s="7">
        <f>I85+J85+K85</f>
        <v>114.10219999999998</v>
      </c>
      <c r="M85" s="7">
        <f>H85-L85</f>
        <v>604.81780000000003</v>
      </c>
    </row>
    <row r="86" spans="1:13" x14ac:dyDescent="0.3">
      <c r="A86" t="s">
        <v>102</v>
      </c>
      <c r="B86" t="s">
        <v>61</v>
      </c>
      <c r="C86" s="7">
        <v>20.55</v>
      </c>
      <c r="D86" s="8">
        <v>35</v>
      </c>
      <c r="E86" s="8">
        <f>MAX(0, D86-40)</f>
        <v>0</v>
      </c>
      <c r="F86" s="7">
        <f>MIN(D86,40)*C86</f>
        <v>719.25</v>
      </c>
      <c r="G86" s="9">
        <f>E86 * C86 * 1.5</f>
        <v>0</v>
      </c>
      <c r="H86" s="7">
        <f>F86+G86</f>
        <v>719.25</v>
      </c>
      <c r="I86" s="7">
        <f>MAX(0,
IF(H86&lt;=800,
H86*0.2,
800*0.2+(H86-800)*0.4
)-70
)</f>
        <v>73.849999999999994</v>
      </c>
      <c r="J86" s="7">
        <f>IF(H86&lt;=231,
H86*0.005,
IF(H86&lt;=693,
231*0.005+(H86-231)*0.02,
231*0.005+462*0.02+(H86-693)*0.045
))</f>
        <v>11.57625</v>
      </c>
      <c r="K86" s="7">
        <f>H86*0.04</f>
        <v>28.77</v>
      </c>
      <c r="L86" s="7">
        <f>I86+J86+K86</f>
        <v>114.19624999999999</v>
      </c>
      <c r="M86" s="7">
        <f>H86-L86</f>
        <v>605.05375000000004</v>
      </c>
    </row>
    <row r="87" spans="1:13" x14ac:dyDescent="0.3">
      <c r="A87" t="s">
        <v>205</v>
      </c>
      <c r="B87" t="s">
        <v>37</v>
      </c>
      <c r="C87" s="7">
        <v>18.54</v>
      </c>
      <c r="D87" s="8">
        <v>38.799999999999997</v>
      </c>
      <c r="E87" s="8">
        <f>MAX(0, D87-40)</f>
        <v>0</v>
      </c>
      <c r="F87" s="7">
        <f>MIN(D87,40)*C87</f>
        <v>719.35199999999986</v>
      </c>
      <c r="G87" s="9">
        <f>E87 * C87 * 1.5</f>
        <v>0</v>
      </c>
      <c r="H87" s="7">
        <f>F87+G87</f>
        <v>719.35199999999986</v>
      </c>
      <c r="I87" s="7">
        <f>MAX(0,
IF(H87&lt;=800,
H87*0.2,
800*0.2+(H87-800)*0.4
)-70
)</f>
        <v>73.870399999999989</v>
      </c>
      <c r="J87" s="7">
        <f>IF(H87&lt;=231,
H87*0.005,
IF(H87&lt;=693,
231*0.005+(H87-231)*0.02,
231*0.005+462*0.02+(H87-693)*0.045
))</f>
        <v>11.580839999999993</v>
      </c>
      <c r="K87" s="7">
        <f>H87*0.04</f>
        <v>28.774079999999994</v>
      </c>
      <c r="L87" s="7">
        <f>I87+J87+K87</f>
        <v>114.22531999999998</v>
      </c>
      <c r="M87" s="7">
        <f>H87-L87</f>
        <v>605.12667999999985</v>
      </c>
    </row>
    <row r="88" spans="1:13" x14ac:dyDescent="0.3">
      <c r="A88" t="s">
        <v>67</v>
      </c>
      <c r="B88" t="s">
        <v>49</v>
      </c>
      <c r="C88" s="7">
        <v>18.04</v>
      </c>
      <c r="D88" s="8">
        <v>39.9</v>
      </c>
      <c r="E88" s="8">
        <f>MAX(0, D88-40)</f>
        <v>0</v>
      </c>
      <c r="F88" s="7">
        <f>MIN(D88,40)*C88</f>
        <v>719.79599999999994</v>
      </c>
      <c r="G88" s="9">
        <f>E88 * C88 * 1.5</f>
        <v>0</v>
      </c>
      <c r="H88" s="7">
        <f>F88+G88</f>
        <v>719.79599999999994</v>
      </c>
      <c r="I88" s="7">
        <f>MAX(0,
IF(H88&lt;=800,
H88*0.2,
800*0.2+(H88-800)*0.4
)-70
)</f>
        <v>73.959199999999981</v>
      </c>
      <c r="J88" s="7">
        <f>IF(H88&lt;=231,
H88*0.005,
IF(H88&lt;=693,
231*0.005+(H88-231)*0.02,
231*0.005+462*0.02+(H88-693)*0.045
))</f>
        <v>11.600819999999997</v>
      </c>
      <c r="K88" s="7">
        <f>H88*0.04</f>
        <v>28.791839999999997</v>
      </c>
      <c r="L88" s="7">
        <f>I88+J88+K88</f>
        <v>114.35185999999997</v>
      </c>
      <c r="M88" s="7">
        <f>H88-L88</f>
        <v>605.44413999999995</v>
      </c>
    </row>
    <row r="89" spans="1:13" x14ac:dyDescent="0.3">
      <c r="A89" t="s">
        <v>337</v>
      </c>
      <c r="B89" t="s">
        <v>101</v>
      </c>
      <c r="C89" s="7">
        <v>19.21</v>
      </c>
      <c r="D89" s="8">
        <v>37.5</v>
      </c>
      <c r="E89" s="8">
        <f>MAX(0, D89-40)</f>
        <v>0</v>
      </c>
      <c r="F89" s="7">
        <f>MIN(D89,40)*C89</f>
        <v>720.375</v>
      </c>
      <c r="G89" s="9">
        <f>E89 * C89 * 1.5</f>
        <v>0</v>
      </c>
      <c r="H89" s="7">
        <f>F89+G89</f>
        <v>720.375</v>
      </c>
      <c r="I89" s="7">
        <f>MAX(0,
IF(H89&lt;=800,
H89*0.2,
800*0.2+(H89-800)*0.4
)-70
)</f>
        <v>74.075000000000017</v>
      </c>
      <c r="J89" s="7">
        <f>IF(H89&lt;=231,
H89*0.005,
IF(H89&lt;=693,
231*0.005+(H89-231)*0.02,
231*0.005+462*0.02+(H89-693)*0.045
))</f>
        <v>11.626875</v>
      </c>
      <c r="K89" s="7">
        <f>H89*0.04</f>
        <v>28.815000000000001</v>
      </c>
      <c r="L89" s="7">
        <f>I89+J89+K89</f>
        <v>114.51687500000001</v>
      </c>
      <c r="M89" s="7">
        <f>H89-L89</f>
        <v>605.85812499999997</v>
      </c>
    </row>
    <row r="90" spans="1:13" x14ac:dyDescent="0.3">
      <c r="A90" t="s">
        <v>220</v>
      </c>
      <c r="B90" t="s">
        <v>66</v>
      </c>
      <c r="C90" s="7">
        <v>15.38</v>
      </c>
      <c r="D90" s="8">
        <v>44.7</v>
      </c>
      <c r="E90" s="8">
        <f>MAX(0, D90-40)</f>
        <v>4.7000000000000028</v>
      </c>
      <c r="F90" s="7">
        <f>MIN(D90,40)*C90</f>
        <v>615.20000000000005</v>
      </c>
      <c r="G90" s="9">
        <f>E90 * C90 * 1.5</f>
        <v>108.42900000000006</v>
      </c>
      <c r="H90" s="7">
        <f>F90+G90</f>
        <v>723.62900000000013</v>
      </c>
      <c r="I90" s="7">
        <f>MAX(0,
IF(H90&lt;=800,
H90*0.2,
800*0.2+(H90-800)*0.4
)-70
)</f>
        <v>74.725800000000021</v>
      </c>
      <c r="J90" s="7">
        <f>IF(H90&lt;=231,
H90*0.005,
IF(H90&lt;=693,
231*0.005+(H90-231)*0.02,
231*0.005+462*0.02+(H90-693)*0.045
))</f>
        <v>11.773305000000006</v>
      </c>
      <c r="K90" s="7">
        <f>H90*0.04</f>
        <v>28.945160000000005</v>
      </c>
      <c r="L90" s="7">
        <f>I90+J90+K90</f>
        <v>115.44426500000003</v>
      </c>
      <c r="M90" s="7">
        <f>H90-L90</f>
        <v>608.18473500000005</v>
      </c>
    </row>
    <row r="91" spans="1:13" x14ac:dyDescent="0.3">
      <c r="A91" t="s">
        <v>444</v>
      </c>
      <c r="B91" t="s">
        <v>15</v>
      </c>
      <c r="C91" s="7">
        <v>15.58</v>
      </c>
      <c r="D91" s="8">
        <v>44.4</v>
      </c>
      <c r="E91" s="8">
        <f>MAX(0, D91-40)</f>
        <v>4.3999999999999986</v>
      </c>
      <c r="F91" s="7">
        <f>MIN(D91,40)*C91</f>
        <v>623.20000000000005</v>
      </c>
      <c r="G91" s="9">
        <f>E91 * C91 * 1.5</f>
        <v>102.82799999999997</v>
      </c>
      <c r="H91" s="7">
        <f>F91+G91</f>
        <v>726.02800000000002</v>
      </c>
      <c r="I91" s="7">
        <f>MAX(0,
IF(H91&lt;=800,
H91*0.2,
800*0.2+(H91-800)*0.4
)-70
)</f>
        <v>75.205600000000004</v>
      </c>
      <c r="J91" s="7">
        <f>IF(H91&lt;=231,
H91*0.005,
IF(H91&lt;=693,
231*0.005+(H91-231)*0.02,
231*0.005+462*0.02+(H91-693)*0.045
))</f>
        <v>11.881260000000001</v>
      </c>
      <c r="K91" s="7">
        <f>H91*0.04</f>
        <v>29.041120000000003</v>
      </c>
      <c r="L91" s="7">
        <f>I91+J91+K91</f>
        <v>116.12798000000001</v>
      </c>
      <c r="M91" s="7">
        <f>H91-L91</f>
        <v>609.90002000000004</v>
      </c>
    </row>
    <row r="92" spans="1:13" x14ac:dyDescent="0.3">
      <c r="A92" t="s">
        <v>230</v>
      </c>
      <c r="B92" t="s">
        <v>55</v>
      </c>
      <c r="C92" s="7">
        <v>18.77</v>
      </c>
      <c r="D92" s="8">
        <v>38.700000000000003</v>
      </c>
      <c r="E92" s="8">
        <f>MAX(0, D92-40)</f>
        <v>0</v>
      </c>
      <c r="F92" s="7">
        <f>MIN(D92,40)*C92</f>
        <v>726.399</v>
      </c>
      <c r="G92" s="9">
        <f>E92 * C92 * 1.5</f>
        <v>0</v>
      </c>
      <c r="H92" s="7">
        <f>F92+G92</f>
        <v>726.399</v>
      </c>
      <c r="I92" s="7">
        <f>MAX(0,
IF(H92&lt;=800,
H92*0.2,
800*0.2+(H92-800)*0.4
)-70
)</f>
        <v>75.279799999999994</v>
      </c>
      <c r="J92" s="7">
        <f>IF(H92&lt;=231,
H92*0.005,
IF(H92&lt;=693,
231*0.005+(H92-231)*0.02,
231*0.005+462*0.02+(H92-693)*0.045
))</f>
        <v>11.897955</v>
      </c>
      <c r="K92" s="7">
        <f>H92*0.04</f>
        <v>29.055959999999999</v>
      </c>
      <c r="L92" s="7">
        <f>I92+J92+K92</f>
        <v>116.23371499999999</v>
      </c>
      <c r="M92" s="7">
        <f>H92-L92</f>
        <v>610.16528500000004</v>
      </c>
    </row>
    <row r="93" spans="1:13" x14ac:dyDescent="0.3">
      <c r="A93" t="s">
        <v>222</v>
      </c>
      <c r="B93" t="s">
        <v>125</v>
      </c>
      <c r="C93" s="7">
        <v>17.59</v>
      </c>
      <c r="D93" s="8">
        <v>40.9</v>
      </c>
      <c r="E93" s="8">
        <f>MAX(0, D93-40)</f>
        <v>0.89999999999999858</v>
      </c>
      <c r="F93" s="7">
        <f>MIN(D93,40)*C93</f>
        <v>703.6</v>
      </c>
      <c r="G93" s="9">
        <f>E93 * C93 * 1.5</f>
        <v>23.746499999999962</v>
      </c>
      <c r="H93" s="7">
        <f>F93+G93</f>
        <v>727.34649999999999</v>
      </c>
      <c r="I93" s="7">
        <f>MAX(0,
IF(H93&lt;=800,
H93*0.2,
800*0.2+(H93-800)*0.4
)-70
)</f>
        <v>75.469300000000004</v>
      </c>
      <c r="J93" s="7">
        <f>IF(H93&lt;=231,
H93*0.005,
IF(H93&lt;=693,
231*0.005+(H93-231)*0.02,
231*0.005+462*0.02+(H93-693)*0.045
))</f>
        <v>11.940592499999999</v>
      </c>
      <c r="K93" s="7">
        <f>H93*0.04</f>
        <v>29.093859999999999</v>
      </c>
      <c r="L93" s="7">
        <f>I93+J93+K93</f>
        <v>116.50375249999999</v>
      </c>
      <c r="M93" s="7">
        <f>H93-L93</f>
        <v>610.84274749999997</v>
      </c>
    </row>
    <row r="94" spans="1:13" x14ac:dyDescent="0.3">
      <c r="A94" t="s">
        <v>434</v>
      </c>
      <c r="B94" t="s">
        <v>32</v>
      </c>
      <c r="C94" s="7">
        <v>15.98</v>
      </c>
      <c r="D94" s="8">
        <v>43.7</v>
      </c>
      <c r="E94" s="8">
        <f>MAX(0, D94-40)</f>
        <v>3.7000000000000028</v>
      </c>
      <c r="F94" s="7">
        <f>MIN(D94,40)*C94</f>
        <v>639.20000000000005</v>
      </c>
      <c r="G94" s="9">
        <f>E94 * C94 * 1.5</f>
        <v>88.689000000000078</v>
      </c>
      <c r="H94" s="7">
        <f>F94+G94</f>
        <v>727.88900000000012</v>
      </c>
      <c r="I94" s="7">
        <f>MAX(0,
IF(H94&lt;=800,
H94*0.2,
800*0.2+(H94-800)*0.4
)-70
)</f>
        <v>75.577800000000025</v>
      </c>
      <c r="J94" s="7">
        <f>IF(H94&lt;=231,
H94*0.005,
IF(H94&lt;=693,
231*0.005+(H94-231)*0.02,
231*0.005+462*0.02+(H94-693)*0.045
))</f>
        <v>11.965005000000005</v>
      </c>
      <c r="K94" s="7">
        <f>H94*0.04</f>
        <v>29.115560000000006</v>
      </c>
      <c r="L94" s="7">
        <f>I94+J94+K94</f>
        <v>116.65836500000003</v>
      </c>
      <c r="M94" s="7">
        <f>H94-L94</f>
        <v>611.23063500000012</v>
      </c>
    </row>
    <row r="95" spans="1:13" x14ac:dyDescent="0.3">
      <c r="A95" t="s">
        <v>462</v>
      </c>
      <c r="B95" t="s">
        <v>32</v>
      </c>
      <c r="C95" s="7">
        <v>15.66</v>
      </c>
      <c r="D95" s="8">
        <v>44.4</v>
      </c>
      <c r="E95" s="8">
        <f>MAX(0, D95-40)</f>
        <v>4.3999999999999986</v>
      </c>
      <c r="F95" s="7">
        <f>MIN(D95,40)*C95</f>
        <v>626.4</v>
      </c>
      <c r="G95" s="9">
        <f>E95 * C95 * 1.5</f>
        <v>103.35599999999997</v>
      </c>
      <c r="H95" s="7">
        <f>F95+G95</f>
        <v>729.75599999999997</v>
      </c>
      <c r="I95" s="7">
        <f>MAX(0,
IF(H95&lt;=800,
H95*0.2,
800*0.2+(H95-800)*0.4
)-70
)</f>
        <v>75.9512</v>
      </c>
      <c r="J95" s="7">
        <f>IF(H95&lt;=231,
H95*0.005,
IF(H95&lt;=693,
231*0.005+(H95-231)*0.02,
231*0.005+462*0.02+(H95-693)*0.045
))</f>
        <v>12.049019999999999</v>
      </c>
      <c r="K95" s="7">
        <f>H95*0.04</f>
        <v>29.190239999999999</v>
      </c>
      <c r="L95" s="7">
        <f>I95+J95+K95</f>
        <v>117.19046</v>
      </c>
      <c r="M95" s="7">
        <f>H95-L95</f>
        <v>612.56553999999994</v>
      </c>
    </row>
    <row r="96" spans="1:13" x14ac:dyDescent="0.3">
      <c r="A96" t="s">
        <v>245</v>
      </c>
      <c r="B96" t="s">
        <v>66</v>
      </c>
      <c r="C96" s="7">
        <v>16.28</v>
      </c>
      <c r="D96" s="8">
        <v>43.3</v>
      </c>
      <c r="E96" s="8">
        <f>MAX(0, D96-40)</f>
        <v>3.2999999999999972</v>
      </c>
      <c r="F96" s="7">
        <f>MIN(D96,40)*C96</f>
        <v>651.20000000000005</v>
      </c>
      <c r="G96" s="9">
        <f>E96 * C96 * 1.5</f>
        <v>80.585999999999927</v>
      </c>
      <c r="H96" s="7">
        <f>F96+G96</f>
        <v>731.78599999999994</v>
      </c>
      <c r="I96" s="7">
        <f>MAX(0,
IF(H96&lt;=800,
H96*0.2,
800*0.2+(H96-800)*0.4
)-70
)</f>
        <v>76.357200000000006</v>
      </c>
      <c r="J96" s="7">
        <f>IF(H96&lt;=231,
H96*0.005,
IF(H96&lt;=693,
231*0.005+(H96-231)*0.02,
231*0.005+462*0.02+(H96-693)*0.045
))</f>
        <v>12.140369999999997</v>
      </c>
      <c r="K96" s="7">
        <f>H96*0.04</f>
        <v>29.271439999999998</v>
      </c>
      <c r="L96" s="7">
        <f>I96+J96+K96</f>
        <v>117.76900999999999</v>
      </c>
      <c r="M96" s="7">
        <f>H96-L96</f>
        <v>614.01698999999996</v>
      </c>
    </row>
    <row r="97" spans="1:13" x14ac:dyDescent="0.3">
      <c r="A97" t="s">
        <v>263</v>
      </c>
      <c r="B97" t="s">
        <v>66</v>
      </c>
      <c r="C97" s="7">
        <v>17.77</v>
      </c>
      <c r="D97" s="8">
        <v>40.799999999999997</v>
      </c>
      <c r="E97" s="8">
        <f>MAX(0, D97-40)</f>
        <v>0.79999999999999716</v>
      </c>
      <c r="F97" s="7">
        <f>MIN(D97,40)*C97</f>
        <v>710.8</v>
      </c>
      <c r="G97" s="9">
        <f>E97 * C97 * 1.5</f>
        <v>21.323999999999923</v>
      </c>
      <c r="H97" s="7">
        <f>F97+G97</f>
        <v>732.12399999999991</v>
      </c>
      <c r="I97" s="7">
        <f>MAX(0,
IF(H97&lt;=800,
H97*0.2,
800*0.2+(H97-800)*0.4
)-70
)</f>
        <v>76.424799999999976</v>
      </c>
      <c r="J97" s="7">
        <f>IF(H97&lt;=231,
H97*0.005,
IF(H97&lt;=693,
231*0.005+(H97-231)*0.02,
231*0.005+462*0.02+(H97-693)*0.045
))</f>
        <v>12.155579999999995</v>
      </c>
      <c r="K97" s="7">
        <f>H97*0.04</f>
        <v>29.284959999999998</v>
      </c>
      <c r="L97" s="7">
        <f>I97+J97+K97</f>
        <v>117.86533999999997</v>
      </c>
      <c r="M97" s="7">
        <f>H97-L97</f>
        <v>614.25865999999996</v>
      </c>
    </row>
    <row r="98" spans="1:13" x14ac:dyDescent="0.3">
      <c r="A98" t="s">
        <v>480</v>
      </c>
      <c r="B98" t="s">
        <v>125</v>
      </c>
      <c r="C98" s="7">
        <v>20.36</v>
      </c>
      <c r="D98" s="8">
        <v>36</v>
      </c>
      <c r="E98" s="8">
        <f>MAX(0, D98-40)</f>
        <v>0</v>
      </c>
      <c r="F98" s="7">
        <f>MIN(D98,40)*C98</f>
        <v>732.96</v>
      </c>
      <c r="G98" s="9">
        <f>E98 * C98 * 1.5</f>
        <v>0</v>
      </c>
      <c r="H98" s="7">
        <f>F98+G98</f>
        <v>732.96</v>
      </c>
      <c r="I98" s="7">
        <f>MAX(0,
IF(H98&lt;=800,
H98*0.2,
800*0.2+(H98-800)*0.4
)-70
)</f>
        <v>76.592000000000013</v>
      </c>
      <c r="J98" s="7">
        <f>IF(H98&lt;=231,
H98*0.005,
IF(H98&lt;=693,
231*0.005+(H98-231)*0.02,
231*0.005+462*0.02+(H98-693)*0.045
))</f>
        <v>12.193200000000001</v>
      </c>
      <c r="K98" s="7">
        <f>H98*0.04</f>
        <v>29.3184</v>
      </c>
      <c r="L98" s="7">
        <f>I98+J98+K98</f>
        <v>118.10360000000001</v>
      </c>
      <c r="M98" s="7">
        <f>H98-L98</f>
        <v>614.85640000000001</v>
      </c>
    </row>
    <row r="99" spans="1:13" x14ac:dyDescent="0.3">
      <c r="A99" t="s">
        <v>74</v>
      </c>
      <c r="B99" t="s">
        <v>27</v>
      </c>
      <c r="C99" s="7">
        <v>19.600000000000001</v>
      </c>
      <c r="D99" s="8">
        <v>37.4</v>
      </c>
      <c r="E99" s="8">
        <f>MAX(0, D99-40)</f>
        <v>0</v>
      </c>
      <c r="F99" s="7">
        <f>MIN(D99,40)*C99</f>
        <v>733.04000000000008</v>
      </c>
      <c r="G99" s="9">
        <f>E99 * C99 * 1.5</f>
        <v>0</v>
      </c>
      <c r="H99" s="7">
        <f>F99+G99</f>
        <v>733.04000000000008</v>
      </c>
      <c r="I99" s="7">
        <f>MAX(0,
IF(H99&lt;=800,
H99*0.2,
800*0.2+(H99-800)*0.4
)-70
)</f>
        <v>76.608000000000033</v>
      </c>
      <c r="J99" s="7">
        <f>IF(H99&lt;=231,
H99*0.005,
IF(H99&lt;=693,
231*0.005+(H99-231)*0.02,
231*0.005+462*0.02+(H99-693)*0.045
))</f>
        <v>12.196800000000003</v>
      </c>
      <c r="K99" s="7">
        <f>H99*0.04</f>
        <v>29.321600000000004</v>
      </c>
      <c r="L99" s="7">
        <f>I99+J99+K99</f>
        <v>118.12640000000003</v>
      </c>
      <c r="M99" s="7">
        <f>H99-L99</f>
        <v>614.91360000000009</v>
      </c>
    </row>
    <row r="100" spans="1:13" x14ac:dyDescent="0.3">
      <c r="A100" t="s">
        <v>446</v>
      </c>
      <c r="B100" t="s">
        <v>19</v>
      </c>
      <c r="C100" s="7">
        <v>20.43</v>
      </c>
      <c r="D100" s="8">
        <v>35.9</v>
      </c>
      <c r="E100" s="8">
        <f>MAX(0, D100-40)</f>
        <v>0</v>
      </c>
      <c r="F100" s="7">
        <f>MIN(D100,40)*C100</f>
        <v>733.43700000000001</v>
      </c>
      <c r="G100" s="9">
        <f>E100 * C100 * 1.5</f>
        <v>0</v>
      </c>
      <c r="H100" s="7">
        <f>F100+G100</f>
        <v>733.43700000000001</v>
      </c>
      <c r="I100" s="7">
        <f>MAX(0,
IF(H100&lt;=800,
H100*0.2,
800*0.2+(H100-800)*0.4
)-70
)</f>
        <v>76.687399999999997</v>
      </c>
      <c r="J100" s="7">
        <f>IF(H100&lt;=231,
H100*0.005,
IF(H100&lt;=693,
231*0.005+(H100-231)*0.02,
231*0.005+462*0.02+(H100-693)*0.045
))</f>
        <v>12.214665</v>
      </c>
      <c r="K100" s="7">
        <f>H100*0.04</f>
        <v>29.337479999999999</v>
      </c>
      <c r="L100" s="7">
        <f>I100+J100+K100</f>
        <v>118.23954499999999</v>
      </c>
      <c r="M100" s="7">
        <f>H100-L100</f>
        <v>615.19745499999999</v>
      </c>
    </row>
    <row r="101" spans="1:13" x14ac:dyDescent="0.3">
      <c r="A101" t="s">
        <v>225</v>
      </c>
      <c r="B101" t="s">
        <v>32</v>
      </c>
      <c r="C101" s="7">
        <v>17.46</v>
      </c>
      <c r="D101" s="8">
        <v>41.4</v>
      </c>
      <c r="E101" s="8">
        <f>MAX(0, D101-40)</f>
        <v>1.3999999999999986</v>
      </c>
      <c r="F101" s="7">
        <f>MIN(D101,40)*C101</f>
        <v>698.40000000000009</v>
      </c>
      <c r="G101" s="9">
        <f>E101 * C101 * 1.5</f>
        <v>36.665999999999968</v>
      </c>
      <c r="H101" s="7">
        <f>F101+G101</f>
        <v>735.06600000000003</v>
      </c>
      <c r="I101" s="7">
        <f>MAX(0,
IF(H101&lt;=800,
H101*0.2,
800*0.2+(H101-800)*0.4
)-70
)</f>
        <v>77.013200000000012</v>
      </c>
      <c r="J101" s="7">
        <f>IF(H101&lt;=231,
H101*0.005,
IF(H101&lt;=693,
231*0.005+(H101-231)*0.02,
231*0.005+462*0.02+(H101-693)*0.045
))</f>
        <v>12.287970000000001</v>
      </c>
      <c r="K101" s="7">
        <f>H101*0.04</f>
        <v>29.402640000000002</v>
      </c>
      <c r="L101" s="7">
        <f>I101+J101+K101</f>
        <v>118.70381000000002</v>
      </c>
      <c r="M101" s="7">
        <f>H101-L101</f>
        <v>616.36219000000006</v>
      </c>
    </row>
    <row r="102" spans="1:13" x14ac:dyDescent="0.3">
      <c r="A102" t="s">
        <v>261</v>
      </c>
      <c r="B102" t="s">
        <v>7</v>
      </c>
      <c r="C102" s="7">
        <v>20.95</v>
      </c>
      <c r="D102" s="8">
        <v>35.1</v>
      </c>
      <c r="E102" s="8">
        <f>MAX(0, D102-40)</f>
        <v>0</v>
      </c>
      <c r="F102" s="7">
        <f>MIN(D102,40)*C102</f>
        <v>735.34500000000003</v>
      </c>
      <c r="G102" s="9">
        <f>E102 * C102 * 1.5</f>
        <v>0</v>
      </c>
      <c r="H102" s="7">
        <f>F102+G102</f>
        <v>735.34500000000003</v>
      </c>
      <c r="I102" s="7">
        <f>MAX(0,
IF(H102&lt;=800,
H102*0.2,
800*0.2+(H102-800)*0.4
)-70
)</f>
        <v>77.069000000000017</v>
      </c>
      <c r="J102" s="7">
        <f>IF(H102&lt;=231,
H102*0.005,
IF(H102&lt;=693,
231*0.005+(H102-231)*0.02,
231*0.005+462*0.02+(H102-693)*0.045
))</f>
        <v>12.300525</v>
      </c>
      <c r="K102" s="7">
        <f>H102*0.04</f>
        <v>29.413800000000002</v>
      </c>
      <c r="L102" s="7">
        <f>I102+J102+K102</f>
        <v>118.78332500000002</v>
      </c>
      <c r="M102" s="7">
        <f>H102-L102</f>
        <v>616.56167500000004</v>
      </c>
    </row>
    <row r="103" spans="1:13" x14ac:dyDescent="0.3">
      <c r="A103" t="s">
        <v>110</v>
      </c>
      <c r="B103" t="s">
        <v>37</v>
      </c>
      <c r="C103" s="7">
        <v>17.36</v>
      </c>
      <c r="D103" s="8">
        <v>41.6</v>
      </c>
      <c r="E103" s="8">
        <f>MAX(0, D103-40)</f>
        <v>1.6000000000000014</v>
      </c>
      <c r="F103" s="7">
        <f>MIN(D103,40)*C103</f>
        <v>694.4</v>
      </c>
      <c r="G103" s="9">
        <f>E103 * C103 * 1.5</f>
        <v>41.664000000000037</v>
      </c>
      <c r="H103" s="7">
        <f>F103+G103</f>
        <v>736.06399999999996</v>
      </c>
      <c r="I103" s="7">
        <f>MAX(0,
IF(H103&lt;=800,
H103*0.2,
800*0.2+(H103-800)*0.4
)-70
)</f>
        <v>77.212799999999987</v>
      </c>
      <c r="J103" s="7">
        <f>IF(H103&lt;=231,
H103*0.005,
IF(H103&lt;=693,
231*0.005+(H103-231)*0.02,
231*0.005+462*0.02+(H103-693)*0.045
))</f>
        <v>12.332879999999998</v>
      </c>
      <c r="K103" s="7">
        <f>H103*0.04</f>
        <v>29.44256</v>
      </c>
      <c r="L103" s="7">
        <f>I103+J103+K103</f>
        <v>118.98823999999999</v>
      </c>
      <c r="M103" s="7">
        <f>H103-L103</f>
        <v>617.07575999999995</v>
      </c>
    </row>
    <row r="104" spans="1:13" x14ac:dyDescent="0.3">
      <c r="A104" t="s">
        <v>24</v>
      </c>
      <c r="B104" t="s">
        <v>25</v>
      </c>
      <c r="C104" s="7">
        <v>17.13</v>
      </c>
      <c r="D104" s="8">
        <v>42</v>
      </c>
      <c r="E104" s="8">
        <f>MAX(0, D104-40)</f>
        <v>2</v>
      </c>
      <c r="F104" s="7">
        <f>MIN(D104,40)*C104</f>
        <v>685.19999999999993</v>
      </c>
      <c r="G104" s="9">
        <f>E104 * C104 * 1.5</f>
        <v>51.39</v>
      </c>
      <c r="H104" s="7">
        <f>F104+G104</f>
        <v>736.58999999999992</v>
      </c>
      <c r="I104" s="7">
        <f>MAX(0,
IF(H104&lt;=800,
H104*0.2,
800*0.2+(H104-800)*0.4
)-70
)</f>
        <v>77.317999999999984</v>
      </c>
      <c r="J104" s="7">
        <f>IF(H104&lt;=231,
H104*0.005,
IF(H104&lt;=693,
231*0.005+(H104-231)*0.02,
231*0.005+462*0.02+(H104-693)*0.045
))</f>
        <v>12.356549999999995</v>
      </c>
      <c r="K104" s="7">
        <f>H104*0.04</f>
        <v>29.463599999999996</v>
      </c>
      <c r="L104" s="7">
        <f>I104+J104+K104</f>
        <v>119.13814999999998</v>
      </c>
      <c r="M104" s="7">
        <f>H104-L104</f>
        <v>617.45184999999992</v>
      </c>
    </row>
    <row r="105" spans="1:13" x14ac:dyDescent="0.3">
      <c r="A105" t="s">
        <v>478</v>
      </c>
      <c r="B105" t="s">
        <v>101</v>
      </c>
      <c r="C105" s="7">
        <v>20.420000000000002</v>
      </c>
      <c r="D105" s="8">
        <v>36.1</v>
      </c>
      <c r="E105" s="8">
        <f>MAX(0, D105-40)</f>
        <v>0</v>
      </c>
      <c r="F105" s="7">
        <f>MIN(D105,40)*C105</f>
        <v>737.16200000000003</v>
      </c>
      <c r="G105" s="9">
        <f>E105 * C105 * 1.5</f>
        <v>0</v>
      </c>
      <c r="H105" s="7">
        <f>F105+G105</f>
        <v>737.16200000000003</v>
      </c>
      <c r="I105" s="7">
        <f>MAX(0,
IF(H105&lt;=800,
H105*0.2,
800*0.2+(H105-800)*0.4
)-70
)</f>
        <v>77.432400000000001</v>
      </c>
      <c r="J105" s="7">
        <f>IF(H105&lt;=231,
H105*0.005,
IF(H105&lt;=693,
231*0.005+(H105-231)*0.02,
231*0.005+462*0.02+(H105-693)*0.045
))</f>
        <v>12.382290000000001</v>
      </c>
      <c r="K105" s="7">
        <f>H105*0.04</f>
        <v>29.48648</v>
      </c>
      <c r="L105" s="7">
        <f>I105+J105+K105</f>
        <v>119.30117</v>
      </c>
      <c r="M105" s="7">
        <f>H105-L105</f>
        <v>617.86083000000008</v>
      </c>
    </row>
    <row r="106" spans="1:13" x14ac:dyDescent="0.3">
      <c r="A106" t="s">
        <v>400</v>
      </c>
      <c r="B106" t="s">
        <v>66</v>
      </c>
      <c r="C106" s="7">
        <v>15.82</v>
      </c>
      <c r="D106" s="8">
        <v>44.4</v>
      </c>
      <c r="E106" s="8">
        <f>MAX(0, D106-40)</f>
        <v>4.3999999999999986</v>
      </c>
      <c r="F106" s="7">
        <f>MIN(D106,40)*C106</f>
        <v>632.79999999999995</v>
      </c>
      <c r="G106" s="9">
        <f>E106 * C106 * 1.5</f>
        <v>104.41199999999996</v>
      </c>
      <c r="H106" s="7">
        <f>F106+G106</f>
        <v>737.21199999999988</v>
      </c>
      <c r="I106" s="7">
        <f>MAX(0,
IF(H106&lt;=800,
H106*0.2,
800*0.2+(H106-800)*0.4
)-70
)</f>
        <v>77.442399999999992</v>
      </c>
      <c r="J106" s="7">
        <f>IF(H106&lt;=231,
H106*0.005,
IF(H106&lt;=693,
231*0.005+(H106-231)*0.02,
231*0.005+462*0.02+(H106-693)*0.045
))</f>
        <v>12.384539999999994</v>
      </c>
      <c r="K106" s="7">
        <f>H106*0.04</f>
        <v>29.488479999999996</v>
      </c>
      <c r="L106" s="7">
        <f>I106+J106+K106</f>
        <v>119.31541999999997</v>
      </c>
      <c r="M106" s="7">
        <f>H106-L106</f>
        <v>617.89657999999986</v>
      </c>
    </row>
    <row r="107" spans="1:13" x14ac:dyDescent="0.3">
      <c r="A107" t="s">
        <v>216</v>
      </c>
      <c r="B107" t="s">
        <v>43</v>
      </c>
      <c r="C107" s="7">
        <v>19.22</v>
      </c>
      <c r="D107" s="8">
        <v>38.6</v>
      </c>
      <c r="E107" s="8">
        <f>MAX(0, D107-40)</f>
        <v>0</v>
      </c>
      <c r="F107" s="7">
        <f>MIN(D107,40)*C107</f>
        <v>741.89199999999994</v>
      </c>
      <c r="G107" s="9">
        <f>E107 * C107 * 1.5</f>
        <v>0</v>
      </c>
      <c r="H107" s="7">
        <f>F107+G107</f>
        <v>741.89199999999994</v>
      </c>
      <c r="I107" s="7">
        <f>MAX(0,
IF(H107&lt;=800,
H107*0.2,
800*0.2+(H107-800)*0.4
)-70
)</f>
        <v>78.378399999999999</v>
      </c>
      <c r="J107" s="7">
        <f>IF(H107&lt;=231,
H107*0.005,
IF(H107&lt;=693,
231*0.005+(H107-231)*0.02,
231*0.005+462*0.02+(H107-693)*0.045
))</f>
        <v>12.595139999999997</v>
      </c>
      <c r="K107" s="7">
        <f>H107*0.04</f>
        <v>29.67568</v>
      </c>
      <c r="L107" s="7">
        <f>I107+J107+K107</f>
        <v>120.64922</v>
      </c>
      <c r="M107" s="7">
        <f>H107-L107</f>
        <v>621.24277999999993</v>
      </c>
    </row>
    <row r="108" spans="1:13" x14ac:dyDescent="0.3">
      <c r="A108" t="s">
        <v>87</v>
      </c>
      <c r="B108" t="s">
        <v>19</v>
      </c>
      <c r="C108" s="7">
        <v>16.239999999999998</v>
      </c>
      <c r="D108" s="8">
        <v>43.8</v>
      </c>
      <c r="E108" s="8">
        <f>MAX(0, D108-40)</f>
        <v>3.7999999999999972</v>
      </c>
      <c r="F108" s="7">
        <f>MIN(D108,40)*C108</f>
        <v>649.59999999999991</v>
      </c>
      <c r="G108" s="9">
        <f>E108 * C108 * 1.5</f>
        <v>92.567999999999927</v>
      </c>
      <c r="H108" s="7">
        <f>F108+G108</f>
        <v>742.16799999999989</v>
      </c>
      <c r="I108" s="7">
        <f>MAX(0,
IF(H108&lt;=800,
H108*0.2,
800*0.2+(H108-800)*0.4
)-70
)</f>
        <v>78.433599999999984</v>
      </c>
      <c r="J108" s="7">
        <f>IF(H108&lt;=231,
H108*0.005,
IF(H108&lt;=693,
231*0.005+(H108-231)*0.02,
231*0.005+462*0.02+(H108-693)*0.045
))</f>
        <v>12.607559999999994</v>
      </c>
      <c r="K108" s="7">
        <f>H108*0.04</f>
        <v>29.686719999999998</v>
      </c>
      <c r="L108" s="7">
        <f>I108+J108+K108</f>
        <v>120.72787999999997</v>
      </c>
      <c r="M108" s="7">
        <f>H108-L108</f>
        <v>621.44011999999998</v>
      </c>
    </row>
    <row r="109" spans="1:13" x14ac:dyDescent="0.3">
      <c r="A109" t="s">
        <v>116</v>
      </c>
      <c r="B109" t="s">
        <v>27</v>
      </c>
      <c r="C109" s="7">
        <v>20.52</v>
      </c>
      <c r="D109" s="8">
        <v>36.200000000000003</v>
      </c>
      <c r="E109" s="8">
        <f>MAX(0, D109-40)</f>
        <v>0</v>
      </c>
      <c r="F109" s="7">
        <f>MIN(D109,40)*C109</f>
        <v>742.82400000000007</v>
      </c>
      <c r="G109" s="9">
        <f>E109 * C109 * 1.5</f>
        <v>0</v>
      </c>
      <c r="H109" s="7">
        <f>F109+G109</f>
        <v>742.82400000000007</v>
      </c>
      <c r="I109" s="7">
        <f>MAX(0,
IF(H109&lt;=800,
H109*0.2,
800*0.2+(H109-800)*0.4
)-70
)</f>
        <v>78.56480000000002</v>
      </c>
      <c r="J109" s="7">
        <f>IF(H109&lt;=231,
H109*0.005,
IF(H109&lt;=693,
231*0.005+(H109-231)*0.02,
231*0.005+462*0.02+(H109-693)*0.045
))</f>
        <v>12.637080000000003</v>
      </c>
      <c r="K109" s="7">
        <f>H109*0.04</f>
        <v>29.712960000000002</v>
      </c>
      <c r="L109" s="7">
        <f>I109+J109+K109</f>
        <v>120.91484000000003</v>
      </c>
      <c r="M109" s="7">
        <f>H109-L109</f>
        <v>621.90916000000004</v>
      </c>
    </row>
    <row r="110" spans="1:13" x14ac:dyDescent="0.3">
      <c r="A110" t="s">
        <v>343</v>
      </c>
      <c r="B110" t="s">
        <v>66</v>
      </c>
      <c r="C110" s="7">
        <v>20.7</v>
      </c>
      <c r="D110" s="8">
        <v>35.9</v>
      </c>
      <c r="E110" s="8">
        <f>MAX(0, D110-40)</f>
        <v>0</v>
      </c>
      <c r="F110" s="7">
        <f>MIN(D110,40)*C110</f>
        <v>743.13</v>
      </c>
      <c r="G110" s="9">
        <f>E110 * C110 * 1.5</f>
        <v>0</v>
      </c>
      <c r="H110" s="7">
        <f>F110+G110</f>
        <v>743.13</v>
      </c>
      <c r="I110" s="7">
        <f>MAX(0,
IF(H110&lt;=800,
H110*0.2,
800*0.2+(H110-800)*0.4
)-70
)</f>
        <v>78.626000000000005</v>
      </c>
      <c r="J110" s="7">
        <f>IF(H110&lt;=231,
H110*0.005,
IF(H110&lt;=693,
231*0.005+(H110-231)*0.02,
231*0.005+462*0.02+(H110-693)*0.045
))</f>
        <v>12.650849999999998</v>
      </c>
      <c r="K110" s="7">
        <f>H110*0.04</f>
        <v>29.725200000000001</v>
      </c>
      <c r="L110" s="7">
        <f>I110+J110+K110</f>
        <v>121.00205</v>
      </c>
      <c r="M110" s="7">
        <f>H110-L110</f>
        <v>622.12795000000006</v>
      </c>
    </row>
    <row r="111" spans="1:13" x14ac:dyDescent="0.3">
      <c r="A111" t="s">
        <v>314</v>
      </c>
      <c r="B111" t="s">
        <v>99</v>
      </c>
      <c r="C111" s="7">
        <v>18.87</v>
      </c>
      <c r="D111" s="8">
        <v>39.4</v>
      </c>
      <c r="E111" s="8">
        <f>MAX(0, D111-40)</f>
        <v>0</v>
      </c>
      <c r="F111" s="7">
        <f>MIN(D111,40)*C111</f>
        <v>743.47800000000007</v>
      </c>
      <c r="G111" s="9">
        <f>E111 * C111 * 1.5</f>
        <v>0</v>
      </c>
      <c r="H111" s="7">
        <f>F111+G111</f>
        <v>743.47800000000007</v>
      </c>
      <c r="I111" s="7">
        <f>MAX(0,
IF(H111&lt;=800,
H111*0.2,
800*0.2+(H111-800)*0.4
)-70
)</f>
        <v>78.695600000000013</v>
      </c>
      <c r="J111" s="7">
        <f>IF(H111&lt;=231,
H111*0.005,
IF(H111&lt;=693,
231*0.005+(H111-231)*0.02,
231*0.005+462*0.02+(H111-693)*0.045
))</f>
        <v>12.666510000000002</v>
      </c>
      <c r="K111" s="7">
        <f>H111*0.04</f>
        <v>29.739120000000003</v>
      </c>
      <c r="L111" s="7">
        <f>I111+J111+K111</f>
        <v>121.10123000000002</v>
      </c>
      <c r="M111" s="7">
        <f>H111-L111</f>
        <v>622.37677000000008</v>
      </c>
    </row>
    <row r="112" spans="1:13" x14ac:dyDescent="0.3">
      <c r="A112" t="s">
        <v>412</v>
      </c>
      <c r="B112" t="s">
        <v>57</v>
      </c>
      <c r="C112" s="7">
        <v>20.11</v>
      </c>
      <c r="D112" s="8">
        <v>37</v>
      </c>
      <c r="E112" s="8">
        <f>MAX(0, D112-40)</f>
        <v>0</v>
      </c>
      <c r="F112" s="7">
        <f>MIN(D112,40)*C112</f>
        <v>744.06999999999994</v>
      </c>
      <c r="G112" s="9">
        <f>E112 * C112 * 1.5</f>
        <v>0</v>
      </c>
      <c r="H112" s="7">
        <f>F112+G112</f>
        <v>744.06999999999994</v>
      </c>
      <c r="I112" s="7">
        <f>MAX(0,
IF(H112&lt;=800,
H112*0.2,
800*0.2+(H112-800)*0.4
)-70
)</f>
        <v>78.813999999999993</v>
      </c>
      <c r="J112" s="7">
        <f>IF(H112&lt;=231,
H112*0.005,
IF(H112&lt;=693,
231*0.005+(H112-231)*0.02,
231*0.005+462*0.02+(H112-693)*0.045
))</f>
        <v>12.693149999999996</v>
      </c>
      <c r="K112" s="7">
        <f>H112*0.04</f>
        <v>29.762799999999999</v>
      </c>
      <c r="L112" s="7">
        <f>I112+J112+K112</f>
        <v>121.26994999999999</v>
      </c>
      <c r="M112" s="7">
        <f>H112-L112</f>
        <v>622.80004999999994</v>
      </c>
    </row>
    <row r="113" spans="1:13" x14ac:dyDescent="0.3">
      <c r="A113" t="s">
        <v>367</v>
      </c>
      <c r="B113" t="s">
        <v>59</v>
      </c>
      <c r="C113" s="7">
        <v>19.649999999999999</v>
      </c>
      <c r="D113" s="8">
        <v>37.9</v>
      </c>
      <c r="E113" s="8">
        <f>MAX(0, D113-40)</f>
        <v>0</v>
      </c>
      <c r="F113" s="7">
        <f>MIN(D113,40)*C113</f>
        <v>744.7349999999999</v>
      </c>
      <c r="G113" s="9">
        <f>E113 * C113 * 1.5</f>
        <v>0</v>
      </c>
      <c r="H113" s="7">
        <f>F113+G113</f>
        <v>744.7349999999999</v>
      </c>
      <c r="I113" s="7">
        <f>MAX(0,
IF(H113&lt;=800,
H113*0.2,
800*0.2+(H113-800)*0.4
)-70
)</f>
        <v>78.946999999999974</v>
      </c>
      <c r="J113" s="7">
        <f>IF(H113&lt;=231,
H113*0.005,
IF(H113&lt;=693,
231*0.005+(H113-231)*0.02,
231*0.005+462*0.02+(H113-693)*0.045
))</f>
        <v>12.723074999999994</v>
      </c>
      <c r="K113" s="7">
        <f>H113*0.04</f>
        <v>29.789399999999997</v>
      </c>
      <c r="L113" s="7">
        <f>I113+J113+K113</f>
        <v>121.45947499999997</v>
      </c>
      <c r="M113" s="7">
        <f>H113-L113</f>
        <v>623.2755249999999</v>
      </c>
    </row>
    <row r="114" spans="1:13" x14ac:dyDescent="0.3">
      <c r="A114" t="s">
        <v>373</v>
      </c>
      <c r="B114" t="s">
        <v>209</v>
      </c>
      <c r="C114" s="7">
        <v>20.13</v>
      </c>
      <c r="D114" s="8">
        <v>37</v>
      </c>
      <c r="E114" s="8">
        <f>MAX(0, D114-40)</f>
        <v>0</v>
      </c>
      <c r="F114" s="7">
        <f>MIN(D114,40)*C114</f>
        <v>744.81</v>
      </c>
      <c r="G114" s="9">
        <f>E114 * C114 * 1.5</f>
        <v>0</v>
      </c>
      <c r="H114" s="7">
        <f>F114+G114</f>
        <v>744.81</v>
      </c>
      <c r="I114" s="7">
        <f>MAX(0,
IF(H114&lt;=800,
H114*0.2,
800*0.2+(H114-800)*0.4
)-70
)</f>
        <v>78.961999999999989</v>
      </c>
      <c r="J114" s="7">
        <f>IF(H114&lt;=231,
H114*0.005,
IF(H114&lt;=693,
231*0.005+(H114-231)*0.02,
231*0.005+462*0.02+(H114-693)*0.045
))</f>
        <v>12.726449999999996</v>
      </c>
      <c r="K114" s="7">
        <f>H114*0.04</f>
        <v>29.792399999999997</v>
      </c>
      <c r="L114" s="7">
        <f>I114+J114+K114</f>
        <v>121.48084999999999</v>
      </c>
      <c r="M114" s="7">
        <f>H114-L114</f>
        <v>623.32914999999991</v>
      </c>
    </row>
    <row r="115" spans="1:13" x14ac:dyDescent="0.3">
      <c r="A115" t="s">
        <v>188</v>
      </c>
      <c r="B115" t="s">
        <v>66</v>
      </c>
      <c r="C115" s="7">
        <v>16.18</v>
      </c>
      <c r="D115" s="8">
        <v>44.2</v>
      </c>
      <c r="E115" s="8">
        <f>MAX(0, D115-40)</f>
        <v>4.2000000000000028</v>
      </c>
      <c r="F115" s="7">
        <f>MIN(D115,40)*C115</f>
        <v>647.20000000000005</v>
      </c>
      <c r="G115" s="9">
        <f>E115 * C115 * 1.5</f>
        <v>101.93400000000007</v>
      </c>
      <c r="H115" s="7">
        <f>F115+G115</f>
        <v>749.13400000000013</v>
      </c>
      <c r="I115" s="7">
        <f>MAX(0,
IF(H115&lt;=800,
H115*0.2,
800*0.2+(H115-800)*0.4
)-70
)</f>
        <v>79.82680000000002</v>
      </c>
      <c r="J115" s="7">
        <f>IF(H115&lt;=231,
H115*0.005,
IF(H115&lt;=693,
231*0.005+(H115-231)*0.02,
231*0.005+462*0.02+(H115-693)*0.045
))</f>
        <v>12.921030000000005</v>
      </c>
      <c r="K115" s="7">
        <f>H115*0.04</f>
        <v>29.965360000000004</v>
      </c>
      <c r="L115" s="7">
        <f>I115+J115+K115</f>
        <v>122.71319000000003</v>
      </c>
      <c r="M115" s="7">
        <f>H115-L115</f>
        <v>626.42081000000007</v>
      </c>
    </row>
    <row r="116" spans="1:13" x14ac:dyDescent="0.3">
      <c r="A116" t="s">
        <v>406</v>
      </c>
      <c r="B116" t="s">
        <v>43</v>
      </c>
      <c r="C116" s="7">
        <v>18.61</v>
      </c>
      <c r="D116" s="8">
        <v>40.200000000000003</v>
      </c>
      <c r="E116" s="8">
        <f>MAX(0, D116-40)</f>
        <v>0.20000000000000284</v>
      </c>
      <c r="F116" s="7">
        <f>MIN(D116,40)*C116</f>
        <v>744.4</v>
      </c>
      <c r="G116" s="9">
        <f>E116 * C116 * 1.5</f>
        <v>5.5830000000000792</v>
      </c>
      <c r="H116" s="7">
        <f>F116+G116</f>
        <v>749.98300000000006</v>
      </c>
      <c r="I116" s="7">
        <f>MAX(0,
IF(H116&lt;=800,
H116*0.2,
800*0.2+(H116-800)*0.4
)-70
)</f>
        <v>79.996600000000029</v>
      </c>
      <c r="J116" s="7">
        <f>IF(H116&lt;=231,
H116*0.005,
IF(H116&lt;=693,
231*0.005+(H116-231)*0.02,
231*0.005+462*0.02+(H116-693)*0.045
))</f>
        <v>12.959235000000003</v>
      </c>
      <c r="K116" s="7">
        <f>H116*0.04</f>
        <v>29.999320000000004</v>
      </c>
      <c r="L116" s="7">
        <f>I116+J116+K116</f>
        <v>122.95515500000005</v>
      </c>
      <c r="M116" s="7">
        <f>H116-L116</f>
        <v>627.02784500000007</v>
      </c>
    </row>
    <row r="117" spans="1:13" x14ac:dyDescent="0.3">
      <c r="A117" t="s">
        <v>272</v>
      </c>
      <c r="B117" t="s">
        <v>73</v>
      </c>
      <c r="C117" s="7">
        <v>19.88</v>
      </c>
      <c r="D117" s="8">
        <v>37.799999999999997</v>
      </c>
      <c r="E117" s="8">
        <f>MAX(0, D117-40)</f>
        <v>0</v>
      </c>
      <c r="F117" s="7">
        <f>MIN(D117,40)*C117</f>
        <v>751.46399999999994</v>
      </c>
      <c r="G117" s="9">
        <f>E117 * C117 * 1.5</f>
        <v>0</v>
      </c>
      <c r="H117" s="7">
        <f>F117+G117</f>
        <v>751.46399999999994</v>
      </c>
      <c r="I117" s="7">
        <f>MAX(0,
IF(H117&lt;=800,
H117*0.2,
800*0.2+(H117-800)*0.4
)-70
)</f>
        <v>80.2928</v>
      </c>
      <c r="J117" s="7">
        <f>IF(H117&lt;=231,
H117*0.005,
IF(H117&lt;=693,
231*0.005+(H117-231)*0.02,
231*0.005+462*0.02+(H117-693)*0.045
))</f>
        <v>13.025879999999997</v>
      </c>
      <c r="K117" s="7">
        <f>H117*0.04</f>
        <v>30.05856</v>
      </c>
      <c r="L117" s="7">
        <f>I117+J117+K117</f>
        <v>123.37724</v>
      </c>
      <c r="M117" s="7">
        <f>H117-L117</f>
        <v>628.08675999999991</v>
      </c>
    </row>
    <row r="118" spans="1:13" x14ac:dyDescent="0.3">
      <c r="A118" t="s">
        <v>452</v>
      </c>
      <c r="B118" t="s">
        <v>59</v>
      </c>
      <c r="C118" s="7">
        <v>20.43</v>
      </c>
      <c r="D118" s="8">
        <v>36.799999999999997</v>
      </c>
      <c r="E118" s="8">
        <f>MAX(0, D118-40)</f>
        <v>0</v>
      </c>
      <c r="F118" s="7">
        <f>MIN(D118,40)*C118</f>
        <v>751.82399999999996</v>
      </c>
      <c r="G118" s="9">
        <f>E118 * C118 * 1.5</f>
        <v>0</v>
      </c>
      <c r="H118" s="7">
        <f>F118+G118</f>
        <v>751.82399999999996</v>
      </c>
      <c r="I118" s="7">
        <f>MAX(0,
IF(H118&lt;=800,
H118*0.2,
800*0.2+(H118-800)*0.4
)-70
)</f>
        <v>80.364800000000002</v>
      </c>
      <c r="J118" s="7">
        <f>IF(H118&lt;=231,
H118*0.005,
IF(H118&lt;=693,
231*0.005+(H118-231)*0.02,
231*0.005+462*0.02+(H118-693)*0.045
))</f>
        <v>13.042079999999999</v>
      </c>
      <c r="K118" s="7">
        <f>H118*0.04</f>
        <v>30.072959999999998</v>
      </c>
      <c r="L118" s="7">
        <f>I118+J118+K118</f>
        <v>123.47984</v>
      </c>
      <c r="M118" s="7">
        <f>H118-L118</f>
        <v>628.34415999999999</v>
      </c>
    </row>
    <row r="119" spans="1:13" x14ac:dyDescent="0.3">
      <c r="A119" t="s">
        <v>154</v>
      </c>
      <c r="B119" t="s">
        <v>46</v>
      </c>
      <c r="C119" s="7">
        <v>20.12</v>
      </c>
      <c r="D119" s="8">
        <v>37.4</v>
      </c>
      <c r="E119" s="8">
        <f>MAX(0, D119-40)</f>
        <v>0</v>
      </c>
      <c r="F119" s="7">
        <f>MIN(D119,40)*C119</f>
        <v>752.48800000000006</v>
      </c>
      <c r="G119" s="9">
        <f>E119 * C119 * 1.5</f>
        <v>0</v>
      </c>
      <c r="H119" s="7">
        <f>F119+G119</f>
        <v>752.48800000000006</v>
      </c>
      <c r="I119" s="7">
        <f>MAX(0,
IF(H119&lt;=800,
H119*0.2,
800*0.2+(H119-800)*0.4
)-70
)</f>
        <v>80.497600000000006</v>
      </c>
      <c r="J119" s="7">
        <f>IF(H119&lt;=231,
H119*0.005,
IF(H119&lt;=693,
231*0.005+(H119-231)*0.02,
231*0.005+462*0.02+(H119-693)*0.045
))</f>
        <v>13.071960000000002</v>
      </c>
      <c r="K119" s="7">
        <f>H119*0.04</f>
        <v>30.099520000000002</v>
      </c>
      <c r="L119" s="7">
        <f>I119+J119+K119</f>
        <v>123.66908000000001</v>
      </c>
      <c r="M119" s="7">
        <f>H119-L119</f>
        <v>628.81892000000005</v>
      </c>
    </row>
    <row r="120" spans="1:13" x14ac:dyDescent="0.3">
      <c r="A120" t="s">
        <v>36</v>
      </c>
      <c r="B120" t="s">
        <v>37</v>
      </c>
      <c r="C120" s="7">
        <v>19.21</v>
      </c>
      <c r="D120" s="8">
        <v>39.200000000000003</v>
      </c>
      <c r="E120" s="8">
        <f>MAX(0, D120-40)</f>
        <v>0</v>
      </c>
      <c r="F120" s="7">
        <f>MIN(D120,40)*C120</f>
        <v>753.03200000000004</v>
      </c>
      <c r="G120" s="9">
        <f>E120 * C120 * 1.5</f>
        <v>0</v>
      </c>
      <c r="H120" s="7">
        <f>F120+G120</f>
        <v>753.03200000000004</v>
      </c>
      <c r="I120" s="7">
        <f>MAX(0,
IF(H120&lt;=800,
H120*0.2,
800*0.2+(H120-800)*0.4
)-70
)</f>
        <v>80.606400000000008</v>
      </c>
      <c r="J120" s="7">
        <f>IF(H120&lt;=231,
H120*0.005,
IF(H120&lt;=693,
231*0.005+(H120-231)*0.02,
231*0.005+462*0.02+(H120-693)*0.045
))</f>
        <v>13.096440000000001</v>
      </c>
      <c r="K120" s="7">
        <f>H120*0.04</f>
        <v>30.121280000000002</v>
      </c>
      <c r="L120" s="7">
        <f>I120+J120+K120</f>
        <v>123.82412000000001</v>
      </c>
      <c r="M120" s="7">
        <f>H120-L120</f>
        <v>629.20788000000005</v>
      </c>
    </row>
    <row r="121" spans="1:13" x14ac:dyDescent="0.3">
      <c r="A121" t="s">
        <v>381</v>
      </c>
      <c r="B121" t="s">
        <v>19</v>
      </c>
      <c r="C121" s="7">
        <v>16.600000000000001</v>
      </c>
      <c r="D121" s="8">
        <v>43.6</v>
      </c>
      <c r="E121" s="8">
        <f>MAX(0, D121-40)</f>
        <v>3.6000000000000014</v>
      </c>
      <c r="F121" s="7">
        <f>MIN(D121,40)*C121</f>
        <v>664</v>
      </c>
      <c r="G121" s="9">
        <f>E121 * C121 * 1.5</f>
        <v>89.640000000000043</v>
      </c>
      <c r="H121" s="7">
        <f>F121+G121</f>
        <v>753.6400000000001</v>
      </c>
      <c r="I121" s="7">
        <f>MAX(0,
IF(H121&lt;=800,
H121*0.2,
800*0.2+(H121-800)*0.4
)-70
)</f>
        <v>80.728000000000037</v>
      </c>
      <c r="J121" s="7">
        <f>IF(H121&lt;=231,
H121*0.005,
IF(H121&lt;=693,
231*0.005+(H121-231)*0.02,
231*0.005+462*0.02+(H121-693)*0.045
))</f>
        <v>13.123800000000005</v>
      </c>
      <c r="K121" s="7">
        <f>H121*0.04</f>
        <v>30.145600000000005</v>
      </c>
      <c r="L121" s="7">
        <f>I121+J121+K121</f>
        <v>123.99740000000004</v>
      </c>
      <c r="M121" s="7">
        <f>H121-L121</f>
        <v>629.64260000000002</v>
      </c>
    </row>
    <row r="122" spans="1:13" x14ac:dyDescent="0.3">
      <c r="A122" t="s">
        <v>293</v>
      </c>
      <c r="B122" t="s">
        <v>23</v>
      </c>
      <c r="C122" s="7">
        <v>19.39</v>
      </c>
      <c r="D122" s="8">
        <v>39</v>
      </c>
      <c r="E122" s="8">
        <f>MAX(0, D122-40)</f>
        <v>0</v>
      </c>
      <c r="F122" s="7">
        <f>MIN(D122,40)*C122</f>
        <v>756.21</v>
      </c>
      <c r="G122" s="9">
        <f>E122 * C122 * 1.5</f>
        <v>0</v>
      </c>
      <c r="H122" s="7">
        <f>F122+G122</f>
        <v>756.21</v>
      </c>
      <c r="I122" s="7">
        <f>MAX(0,
IF(H122&lt;=800,
H122*0.2,
800*0.2+(H122-800)*0.4
)-70
)</f>
        <v>81.242000000000019</v>
      </c>
      <c r="J122" s="7">
        <f>IF(H122&lt;=231,
H122*0.005,
IF(H122&lt;=693,
231*0.005+(H122-231)*0.02,
231*0.005+462*0.02+(H122-693)*0.045
))</f>
        <v>13.239450000000001</v>
      </c>
      <c r="K122" s="7">
        <f>H122*0.04</f>
        <v>30.248400000000004</v>
      </c>
      <c r="L122" s="7">
        <f>I122+J122+K122</f>
        <v>124.72985000000003</v>
      </c>
      <c r="M122" s="7">
        <f>H122-L122</f>
        <v>631.48014999999998</v>
      </c>
    </row>
    <row r="123" spans="1:13" x14ac:dyDescent="0.3">
      <c r="A123" t="s">
        <v>159</v>
      </c>
      <c r="B123" t="s">
        <v>25</v>
      </c>
      <c r="C123" s="7">
        <v>18.7</v>
      </c>
      <c r="D123" s="8">
        <v>40.299999999999997</v>
      </c>
      <c r="E123" s="8">
        <f>MAX(0, D123-40)</f>
        <v>0.29999999999999716</v>
      </c>
      <c r="F123" s="7">
        <f>MIN(D123,40)*C123</f>
        <v>748</v>
      </c>
      <c r="G123" s="9">
        <f>E123 * C123 * 1.5</f>
        <v>8.414999999999921</v>
      </c>
      <c r="H123" s="7">
        <f>F123+G123</f>
        <v>756.41499999999996</v>
      </c>
      <c r="I123" s="7">
        <f>MAX(0,
IF(H123&lt;=800,
H123*0.2,
800*0.2+(H123-800)*0.4
)-70
)</f>
        <v>81.282999999999987</v>
      </c>
      <c r="J123" s="7">
        <f>IF(H123&lt;=231,
H123*0.005,
IF(H123&lt;=693,
231*0.005+(H123-231)*0.02,
231*0.005+462*0.02+(H123-693)*0.045
))</f>
        <v>13.248674999999999</v>
      </c>
      <c r="K123" s="7">
        <f>H123*0.04</f>
        <v>30.256599999999999</v>
      </c>
      <c r="L123" s="7">
        <f>I123+J123+K123</f>
        <v>124.78827499999997</v>
      </c>
      <c r="M123" s="7">
        <f>H123-L123</f>
        <v>631.62672499999996</v>
      </c>
    </row>
    <row r="124" spans="1:13" x14ac:dyDescent="0.3">
      <c r="A124" t="s">
        <v>176</v>
      </c>
      <c r="B124" t="s">
        <v>99</v>
      </c>
      <c r="C124" s="7">
        <v>17.79</v>
      </c>
      <c r="D124" s="8">
        <v>41.7</v>
      </c>
      <c r="E124" s="8">
        <f>MAX(0, D124-40)</f>
        <v>1.7000000000000028</v>
      </c>
      <c r="F124" s="7">
        <f>MIN(D124,40)*C124</f>
        <v>711.59999999999991</v>
      </c>
      <c r="G124" s="9">
        <f>E124 * C124 * 1.5</f>
        <v>45.364500000000071</v>
      </c>
      <c r="H124" s="7">
        <f>F124+G124</f>
        <v>756.96449999999993</v>
      </c>
      <c r="I124" s="7">
        <f>MAX(0,
IF(H124&lt;=800,
H124*0.2,
800*0.2+(H124-800)*0.4
)-70
)</f>
        <v>81.392899999999997</v>
      </c>
      <c r="J124" s="7">
        <f>IF(H124&lt;=231,
H124*0.005,
IF(H124&lt;=693,
231*0.005+(H124-231)*0.02,
231*0.005+462*0.02+(H124-693)*0.045
))</f>
        <v>13.273402499999996</v>
      </c>
      <c r="K124" s="7">
        <f>H124*0.04</f>
        <v>30.278579999999998</v>
      </c>
      <c r="L124" s="7">
        <f>I124+J124+K124</f>
        <v>124.94488250000001</v>
      </c>
      <c r="M124" s="7">
        <f>H124-L124</f>
        <v>632.01961749999987</v>
      </c>
    </row>
    <row r="125" spans="1:13" x14ac:dyDescent="0.3">
      <c r="A125" t="s">
        <v>457</v>
      </c>
      <c r="B125" t="s">
        <v>32</v>
      </c>
      <c r="C125" s="7">
        <v>17.87</v>
      </c>
      <c r="D125" s="8">
        <v>41.6</v>
      </c>
      <c r="E125" s="8">
        <f>MAX(0, D125-40)</f>
        <v>1.6000000000000014</v>
      </c>
      <c r="F125" s="7">
        <f>MIN(D125,40)*C125</f>
        <v>714.80000000000007</v>
      </c>
      <c r="G125" s="9">
        <f>E125 * C125 * 1.5</f>
        <v>42.888000000000041</v>
      </c>
      <c r="H125" s="7">
        <f>F125+G125</f>
        <v>757.6880000000001</v>
      </c>
      <c r="I125" s="7">
        <f>MAX(0,
IF(H125&lt;=800,
H125*0.2,
800*0.2+(H125-800)*0.4
)-70
)</f>
        <v>81.537600000000026</v>
      </c>
      <c r="J125" s="7">
        <f>IF(H125&lt;=231,
H125*0.005,
IF(H125&lt;=693,
231*0.005+(H125-231)*0.02,
231*0.005+462*0.02+(H125-693)*0.045
))</f>
        <v>13.305960000000004</v>
      </c>
      <c r="K125" s="7">
        <f>H125*0.04</f>
        <v>30.307520000000004</v>
      </c>
      <c r="L125" s="7">
        <f>I125+J125+K125</f>
        <v>125.15108000000004</v>
      </c>
      <c r="M125" s="7">
        <f>H125-L125</f>
        <v>632.53692000000001</v>
      </c>
    </row>
    <row r="126" spans="1:13" x14ac:dyDescent="0.3">
      <c r="A126" t="s">
        <v>359</v>
      </c>
      <c r="B126" t="s">
        <v>59</v>
      </c>
      <c r="C126" s="7">
        <v>19.239999999999998</v>
      </c>
      <c r="D126" s="8">
        <v>39.4</v>
      </c>
      <c r="E126" s="8">
        <f>MAX(0, D126-40)</f>
        <v>0</v>
      </c>
      <c r="F126" s="7">
        <f>MIN(D126,40)*C126</f>
        <v>758.05599999999993</v>
      </c>
      <c r="G126" s="9">
        <f>E126 * C126 * 1.5</f>
        <v>0</v>
      </c>
      <c r="H126" s="7">
        <f>F126+G126</f>
        <v>758.05599999999993</v>
      </c>
      <c r="I126" s="7">
        <f>MAX(0,
IF(H126&lt;=800,
H126*0.2,
800*0.2+(H126-800)*0.4
)-70
)</f>
        <v>81.611199999999997</v>
      </c>
      <c r="J126" s="7">
        <f>IF(H126&lt;=231,
H126*0.005,
IF(H126&lt;=693,
231*0.005+(H126-231)*0.02,
231*0.005+462*0.02+(H126-693)*0.045
))</f>
        <v>13.322519999999997</v>
      </c>
      <c r="K126" s="7">
        <f>H126*0.04</f>
        <v>30.322239999999997</v>
      </c>
      <c r="L126" s="7">
        <f>I126+J126+K126</f>
        <v>125.25595999999999</v>
      </c>
      <c r="M126" s="7">
        <f>H126-L126</f>
        <v>632.80003999999997</v>
      </c>
    </row>
    <row r="127" spans="1:13" x14ac:dyDescent="0.3">
      <c r="A127" t="s">
        <v>340</v>
      </c>
      <c r="B127" t="s">
        <v>123</v>
      </c>
      <c r="C127" s="7">
        <v>21.07</v>
      </c>
      <c r="D127" s="8">
        <v>36</v>
      </c>
      <c r="E127" s="8">
        <f>MAX(0, D127-40)</f>
        <v>0</v>
      </c>
      <c r="F127" s="7">
        <f>MIN(D127,40)*C127</f>
        <v>758.52</v>
      </c>
      <c r="G127" s="9">
        <f>E127 * C127 * 1.5</f>
        <v>0</v>
      </c>
      <c r="H127" s="7">
        <f>F127+G127</f>
        <v>758.52</v>
      </c>
      <c r="I127" s="7">
        <f>MAX(0,
IF(H127&lt;=800,
H127*0.2,
800*0.2+(H127-800)*0.4
)-70
)</f>
        <v>81.704000000000008</v>
      </c>
      <c r="J127" s="7">
        <f>IF(H127&lt;=231,
H127*0.005,
IF(H127&lt;=693,
231*0.005+(H127-231)*0.02,
231*0.005+462*0.02+(H127-693)*0.045
))</f>
        <v>13.343399999999999</v>
      </c>
      <c r="K127" s="7">
        <f>H127*0.04</f>
        <v>30.340800000000002</v>
      </c>
      <c r="L127" s="7">
        <f>I127+J127+K127</f>
        <v>125.38820000000001</v>
      </c>
      <c r="M127" s="7">
        <f>H127-L127</f>
        <v>633.1318</v>
      </c>
    </row>
    <row r="128" spans="1:13" x14ac:dyDescent="0.3">
      <c r="A128" t="s">
        <v>92</v>
      </c>
      <c r="B128" t="s">
        <v>23</v>
      </c>
      <c r="C128" s="7">
        <v>21.44</v>
      </c>
      <c r="D128" s="8">
        <v>35.4</v>
      </c>
      <c r="E128" s="8">
        <f>MAX(0, D128-40)</f>
        <v>0</v>
      </c>
      <c r="F128" s="7">
        <f>MIN(D128,40)*C128</f>
        <v>758.976</v>
      </c>
      <c r="G128" s="9">
        <f>E128 * C128 * 1.5</f>
        <v>0</v>
      </c>
      <c r="H128" s="7">
        <f>F128+G128</f>
        <v>758.976</v>
      </c>
      <c r="I128" s="7">
        <f>MAX(0,
IF(H128&lt;=800,
H128*0.2,
800*0.2+(H128-800)*0.4
)-70
)</f>
        <v>81.795199999999994</v>
      </c>
      <c r="J128" s="7">
        <f>IF(H128&lt;=231,
H128*0.005,
IF(H128&lt;=693,
231*0.005+(H128-231)*0.02,
231*0.005+462*0.02+(H128-693)*0.045
))</f>
        <v>13.36392</v>
      </c>
      <c r="K128" s="7">
        <f>H128*0.04</f>
        <v>30.35904</v>
      </c>
      <c r="L128" s="7">
        <f>I128+J128+K128</f>
        <v>125.51815999999999</v>
      </c>
      <c r="M128" s="7">
        <f>H128-L128</f>
        <v>633.45784000000003</v>
      </c>
    </row>
    <row r="129" spans="1:13" x14ac:dyDescent="0.3">
      <c r="A129" t="s">
        <v>152</v>
      </c>
      <c r="B129" t="s">
        <v>59</v>
      </c>
      <c r="C129" s="7">
        <v>19.45</v>
      </c>
      <c r="D129" s="8">
        <v>39.1</v>
      </c>
      <c r="E129" s="8">
        <f>MAX(0, D129-40)</f>
        <v>0</v>
      </c>
      <c r="F129" s="7">
        <f>MIN(D129,40)*C129</f>
        <v>760.495</v>
      </c>
      <c r="G129" s="9">
        <f>E129 * C129 * 1.5</f>
        <v>0</v>
      </c>
      <c r="H129" s="7">
        <f>F129+G129</f>
        <v>760.495</v>
      </c>
      <c r="I129" s="7">
        <f>MAX(0,
IF(H129&lt;=800,
H129*0.2,
800*0.2+(H129-800)*0.4
)-70
)</f>
        <v>82.099000000000018</v>
      </c>
      <c r="J129" s="7">
        <f>IF(H129&lt;=231,
H129*0.005,
IF(H129&lt;=693,
231*0.005+(H129-231)*0.02,
231*0.005+462*0.02+(H129-693)*0.045
))</f>
        <v>13.432275000000001</v>
      </c>
      <c r="K129" s="7">
        <f>H129*0.04</f>
        <v>30.419800000000002</v>
      </c>
      <c r="L129" s="7">
        <f>I129+J129+K129</f>
        <v>125.95107500000003</v>
      </c>
      <c r="M129" s="7">
        <f>H129-L129</f>
        <v>634.54392499999994</v>
      </c>
    </row>
    <row r="130" spans="1:13" x14ac:dyDescent="0.3">
      <c r="A130" t="s">
        <v>86</v>
      </c>
      <c r="B130" t="s">
        <v>55</v>
      </c>
      <c r="C130" s="7">
        <v>19.309999999999999</v>
      </c>
      <c r="D130" s="8">
        <v>39.4</v>
      </c>
      <c r="E130" s="8">
        <f>MAX(0, D130-40)</f>
        <v>0</v>
      </c>
      <c r="F130" s="7">
        <f>MIN(D130,40)*C130</f>
        <v>760.81399999999996</v>
      </c>
      <c r="G130" s="9">
        <f>E130 * C130 * 1.5</f>
        <v>0</v>
      </c>
      <c r="H130" s="7">
        <f>F130+G130</f>
        <v>760.81399999999996</v>
      </c>
      <c r="I130" s="7">
        <f>MAX(0,
IF(H130&lt;=800,
H130*0.2,
800*0.2+(H130-800)*0.4
)-70
)</f>
        <v>82.162800000000004</v>
      </c>
      <c r="J130" s="7">
        <f>IF(H130&lt;=231,
H130*0.005,
IF(H130&lt;=693,
231*0.005+(H130-231)*0.02,
231*0.005+462*0.02+(H130-693)*0.045
))</f>
        <v>13.446629999999999</v>
      </c>
      <c r="K130" s="7">
        <f>H130*0.04</f>
        <v>30.432559999999999</v>
      </c>
      <c r="L130" s="7">
        <f>I130+J130+K130</f>
        <v>126.04199</v>
      </c>
      <c r="M130" s="7">
        <f>H130-L130</f>
        <v>634.77200999999991</v>
      </c>
    </row>
    <row r="131" spans="1:13" x14ac:dyDescent="0.3">
      <c r="A131" t="s">
        <v>447</v>
      </c>
      <c r="B131" t="s">
        <v>99</v>
      </c>
      <c r="C131" s="7">
        <v>21.69</v>
      </c>
      <c r="D131" s="8">
        <v>35.1</v>
      </c>
      <c r="E131" s="8">
        <f>MAX(0, D131-40)</f>
        <v>0</v>
      </c>
      <c r="F131" s="7">
        <f>MIN(D131,40)*C131</f>
        <v>761.31900000000007</v>
      </c>
      <c r="G131" s="9">
        <f>E131 * C131 * 1.5</f>
        <v>0</v>
      </c>
      <c r="H131" s="7">
        <f>F131+G131</f>
        <v>761.31900000000007</v>
      </c>
      <c r="I131" s="7">
        <f>MAX(0,
IF(H131&lt;=800,
H131*0.2,
800*0.2+(H131-800)*0.4
)-70
)</f>
        <v>82.263800000000032</v>
      </c>
      <c r="J131" s="7">
        <f>IF(H131&lt;=231,
H131*0.005,
IF(H131&lt;=693,
231*0.005+(H131-231)*0.02,
231*0.005+462*0.02+(H131-693)*0.045
))</f>
        <v>13.469355000000004</v>
      </c>
      <c r="K131" s="7">
        <f>H131*0.04</f>
        <v>30.452760000000005</v>
      </c>
      <c r="L131" s="7">
        <f>I131+J131+K131</f>
        <v>126.18591500000005</v>
      </c>
      <c r="M131" s="7">
        <f>H131-L131</f>
        <v>635.13308500000005</v>
      </c>
    </row>
    <row r="132" spans="1:13" x14ac:dyDescent="0.3">
      <c r="A132" t="s">
        <v>98</v>
      </c>
      <c r="B132" t="s">
        <v>99</v>
      </c>
      <c r="C132" s="7">
        <v>18.350000000000001</v>
      </c>
      <c r="D132" s="8">
        <v>41</v>
      </c>
      <c r="E132" s="8">
        <f>MAX(0, D132-40)</f>
        <v>1</v>
      </c>
      <c r="F132" s="7">
        <f>MIN(D132,40)*C132</f>
        <v>734</v>
      </c>
      <c r="G132" s="9">
        <f>E132 * C132 * 1.5</f>
        <v>27.525000000000002</v>
      </c>
      <c r="H132" s="7">
        <f>F132+G132</f>
        <v>761.52499999999998</v>
      </c>
      <c r="I132" s="7">
        <f>MAX(0,
IF(H132&lt;=800,
H132*0.2,
800*0.2+(H132-800)*0.4
)-70
)</f>
        <v>82.305000000000007</v>
      </c>
      <c r="J132" s="7">
        <f>IF(H132&lt;=231,
H132*0.005,
IF(H132&lt;=693,
231*0.005+(H132-231)*0.02,
231*0.005+462*0.02+(H132-693)*0.045
))</f>
        <v>13.478624999999997</v>
      </c>
      <c r="K132" s="7">
        <f>H132*0.04</f>
        <v>30.460999999999999</v>
      </c>
      <c r="L132" s="7">
        <f>I132+J132+K132</f>
        <v>126.244625</v>
      </c>
      <c r="M132" s="7">
        <f>H132-L132</f>
        <v>635.28037499999994</v>
      </c>
    </row>
    <row r="133" spans="1:13" x14ac:dyDescent="0.3">
      <c r="A133" t="s">
        <v>404</v>
      </c>
      <c r="B133" t="s">
        <v>9</v>
      </c>
      <c r="C133" s="7">
        <v>16.11</v>
      </c>
      <c r="D133" s="8">
        <v>44.9</v>
      </c>
      <c r="E133" s="8">
        <f>MAX(0, D133-40)</f>
        <v>4.8999999999999986</v>
      </c>
      <c r="F133" s="7">
        <f>MIN(D133,40)*C133</f>
        <v>644.4</v>
      </c>
      <c r="G133" s="9">
        <f>E133 * C133 * 1.5</f>
        <v>118.40849999999998</v>
      </c>
      <c r="H133" s="7">
        <f>F133+G133</f>
        <v>762.80849999999998</v>
      </c>
      <c r="I133" s="7">
        <f>MAX(0,
IF(H133&lt;=800,
H133*0.2,
800*0.2+(H133-800)*0.4
)-70
)</f>
        <v>82.561700000000002</v>
      </c>
      <c r="J133" s="7">
        <f>IF(H133&lt;=231,
H133*0.005,
IF(H133&lt;=693,
231*0.005+(H133-231)*0.02,
231*0.005+462*0.02+(H133-693)*0.045
))</f>
        <v>13.536382499999998</v>
      </c>
      <c r="K133" s="7">
        <f>H133*0.04</f>
        <v>30.512339999999998</v>
      </c>
      <c r="L133" s="7">
        <f>I133+J133+K133</f>
        <v>126.6104225</v>
      </c>
      <c r="M133" s="7">
        <f>H133-L133</f>
        <v>636.19807749999995</v>
      </c>
    </row>
    <row r="134" spans="1:13" x14ac:dyDescent="0.3">
      <c r="A134" t="s">
        <v>200</v>
      </c>
      <c r="B134" t="s">
        <v>43</v>
      </c>
      <c r="C134" s="7">
        <v>19.37</v>
      </c>
      <c r="D134" s="8">
        <v>39.4</v>
      </c>
      <c r="E134" s="8">
        <f>MAX(0, D134-40)</f>
        <v>0</v>
      </c>
      <c r="F134" s="7">
        <f>MIN(D134,40)*C134</f>
        <v>763.178</v>
      </c>
      <c r="G134" s="9">
        <f>E134 * C134 * 1.5</f>
        <v>0</v>
      </c>
      <c r="H134" s="7">
        <f>F134+G134</f>
        <v>763.178</v>
      </c>
      <c r="I134" s="7">
        <f>MAX(0,
IF(H134&lt;=800,
H134*0.2,
800*0.2+(H134-800)*0.4
)-70
)</f>
        <v>82.635600000000011</v>
      </c>
      <c r="J134" s="7">
        <f>IF(H134&lt;=231,
H134*0.005,
IF(H134&lt;=693,
231*0.005+(H134-231)*0.02,
231*0.005+462*0.02+(H134-693)*0.045
))</f>
        <v>13.553009999999999</v>
      </c>
      <c r="K134" s="7">
        <f>H134*0.04</f>
        <v>30.52712</v>
      </c>
      <c r="L134" s="7">
        <f>I134+J134+K134</f>
        <v>126.71573000000001</v>
      </c>
      <c r="M134" s="7">
        <f>H134-L134</f>
        <v>636.46226999999999</v>
      </c>
    </row>
    <row r="135" spans="1:13" x14ac:dyDescent="0.3">
      <c r="A135" t="s">
        <v>204</v>
      </c>
      <c r="B135" t="s">
        <v>125</v>
      </c>
      <c r="C135" s="7">
        <v>18.66</v>
      </c>
      <c r="D135" s="8">
        <v>40.700000000000003</v>
      </c>
      <c r="E135" s="8">
        <f>MAX(0, D135-40)</f>
        <v>0.70000000000000284</v>
      </c>
      <c r="F135" s="7">
        <f>MIN(D135,40)*C135</f>
        <v>746.4</v>
      </c>
      <c r="G135" s="9">
        <f>E135 * C135 * 1.5</f>
        <v>19.593000000000078</v>
      </c>
      <c r="H135" s="7">
        <f>F135+G135</f>
        <v>765.99300000000005</v>
      </c>
      <c r="I135" s="7">
        <f>MAX(0,
IF(H135&lt;=800,
H135*0.2,
800*0.2+(H135-800)*0.4
)-70
)</f>
        <v>83.198600000000027</v>
      </c>
      <c r="J135" s="7">
        <f>IF(H135&lt;=231,
H135*0.005,
IF(H135&lt;=693,
231*0.005+(H135-231)*0.02,
231*0.005+462*0.02+(H135-693)*0.045
))</f>
        <v>13.679685000000003</v>
      </c>
      <c r="K135" s="7">
        <f>H135*0.04</f>
        <v>30.639720000000004</v>
      </c>
      <c r="L135" s="7">
        <f>I135+J135+K135</f>
        <v>127.51800500000004</v>
      </c>
      <c r="M135" s="7">
        <f>H135-L135</f>
        <v>638.47499500000004</v>
      </c>
    </row>
    <row r="136" spans="1:13" x14ac:dyDescent="0.3">
      <c r="A136" t="s">
        <v>375</v>
      </c>
      <c r="B136" t="s">
        <v>7</v>
      </c>
      <c r="C136" s="7">
        <v>16.53</v>
      </c>
      <c r="D136" s="8">
        <v>44.3</v>
      </c>
      <c r="E136" s="8">
        <f>MAX(0, D136-40)</f>
        <v>4.2999999999999972</v>
      </c>
      <c r="F136" s="7">
        <f>MIN(D136,40)*C136</f>
        <v>661.2</v>
      </c>
      <c r="G136" s="9">
        <f>E136 * C136 * 1.5</f>
        <v>106.61849999999993</v>
      </c>
      <c r="H136" s="7">
        <f>F136+G136</f>
        <v>767.81849999999997</v>
      </c>
      <c r="I136" s="7">
        <f>MAX(0,
IF(H136&lt;=800,
H136*0.2,
800*0.2+(H136-800)*0.4
)-70
)</f>
        <v>83.563700000000011</v>
      </c>
      <c r="J136" s="7">
        <f>IF(H136&lt;=231,
H136*0.005,
IF(H136&lt;=693,
231*0.005+(H136-231)*0.02,
231*0.005+462*0.02+(H136-693)*0.045
))</f>
        <v>13.761832499999999</v>
      </c>
      <c r="K136" s="7">
        <f>H136*0.04</f>
        <v>30.71274</v>
      </c>
      <c r="L136" s="7">
        <f>I136+J136+K136</f>
        <v>128.03827250000001</v>
      </c>
      <c r="M136" s="7">
        <f>H136-L136</f>
        <v>639.78022749999991</v>
      </c>
    </row>
    <row r="137" spans="1:13" x14ac:dyDescent="0.3">
      <c r="A137" t="s">
        <v>148</v>
      </c>
      <c r="B137" t="s">
        <v>17</v>
      </c>
      <c r="C137" s="7">
        <v>21.45</v>
      </c>
      <c r="D137" s="8">
        <v>35.9</v>
      </c>
      <c r="E137" s="8">
        <f>MAX(0, D137-40)</f>
        <v>0</v>
      </c>
      <c r="F137" s="7">
        <f>MIN(D137,40)*C137</f>
        <v>770.05499999999995</v>
      </c>
      <c r="G137" s="9">
        <f>E137 * C137 * 1.5</f>
        <v>0</v>
      </c>
      <c r="H137" s="7">
        <f>F137+G137</f>
        <v>770.05499999999995</v>
      </c>
      <c r="I137" s="7">
        <f>MAX(0,
IF(H137&lt;=800,
H137*0.2,
800*0.2+(H137-800)*0.4
)-70
)</f>
        <v>84.010999999999996</v>
      </c>
      <c r="J137" s="7">
        <f>IF(H137&lt;=231,
H137*0.005,
IF(H137&lt;=693,
231*0.005+(H137-231)*0.02,
231*0.005+462*0.02+(H137-693)*0.045
))</f>
        <v>13.862474999999996</v>
      </c>
      <c r="K137" s="7">
        <f>H137*0.04</f>
        <v>30.802199999999999</v>
      </c>
      <c r="L137" s="7">
        <f>I137+J137+K137</f>
        <v>128.67567499999998</v>
      </c>
      <c r="M137" s="7">
        <f>H137-L137</f>
        <v>641.37932499999999</v>
      </c>
    </row>
    <row r="138" spans="1:13" x14ac:dyDescent="0.3">
      <c r="A138" t="s">
        <v>428</v>
      </c>
      <c r="B138" t="s">
        <v>46</v>
      </c>
      <c r="C138" s="7">
        <v>20.61</v>
      </c>
      <c r="D138" s="8">
        <v>37.4</v>
      </c>
      <c r="E138" s="8">
        <f>MAX(0, D138-40)</f>
        <v>0</v>
      </c>
      <c r="F138" s="7">
        <f>MIN(D138,40)*C138</f>
        <v>770.81399999999996</v>
      </c>
      <c r="G138" s="9">
        <f>E138 * C138 * 1.5</f>
        <v>0</v>
      </c>
      <c r="H138" s="7">
        <f>F138+G138</f>
        <v>770.81399999999996</v>
      </c>
      <c r="I138" s="7">
        <f>MAX(0,
IF(H138&lt;=800,
H138*0.2,
800*0.2+(H138-800)*0.4
)-70
)</f>
        <v>84.162800000000004</v>
      </c>
      <c r="J138" s="7">
        <f>IF(H138&lt;=231,
H138*0.005,
IF(H138&lt;=693,
231*0.005+(H138-231)*0.02,
231*0.005+462*0.02+(H138-693)*0.045
))</f>
        <v>13.896629999999998</v>
      </c>
      <c r="K138" s="7">
        <f>H138*0.04</f>
        <v>30.832560000000001</v>
      </c>
      <c r="L138" s="7">
        <f>I138+J138+K138</f>
        <v>128.89199000000002</v>
      </c>
      <c r="M138" s="7">
        <f>H138-L138</f>
        <v>641.92201</v>
      </c>
    </row>
    <row r="139" spans="1:13" x14ac:dyDescent="0.3">
      <c r="A139" t="s">
        <v>272</v>
      </c>
      <c r="B139" t="s">
        <v>99</v>
      </c>
      <c r="C139" s="7">
        <v>20.25</v>
      </c>
      <c r="D139" s="8">
        <v>38.1</v>
      </c>
      <c r="E139" s="8">
        <f>MAX(0, D139-40)</f>
        <v>0</v>
      </c>
      <c r="F139" s="7">
        <f>MIN(D139,40)*C139</f>
        <v>771.52499999999998</v>
      </c>
      <c r="G139" s="9">
        <f>E139 * C139 * 1.5</f>
        <v>0</v>
      </c>
      <c r="H139" s="7">
        <f>F139+G139</f>
        <v>771.52499999999998</v>
      </c>
      <c r="I139" s="7">
        <f>MAX(0,
IF(H139&lt;=800,
H139*0.2,
800*0.2+(H139-800)*0.4
)-70
)</f>
        <v>84.305000000000007</v>
      </c>
      <c r="J139" s="7">
        <f>IF(H139&lt;=231,
H139*0.005,
IF(H139&lt;=693,
231*0.005+(H139-231)*0.02,
231*0.005+462*0.02+(H139-693)*0.045
))</f>
        <v>13.928624999999998</v>
      </c>
      <c r="K139" s="7">
        <f>H139*0.04</f>
        <v>30.861000000000001</v>
      </c>
      <c r="L139" s="7">
        <f>I139+J139+K139</f>
        <v>129.09462500000001</v>
      </c>
      <c r="M139" s="7">
        <f>H139-L139</f>
        <v>642.43037499999991</v>
      </c>
    </row>
    <row r="140" spans="1:13" x14ac:dyDescent="0.3">
      <c r="A140" t="s">
        <v>78</v>
      </c>
      <c r="B140" t="s">
        <v>59</v>
      </c>
      <c r="C140" s="7">
        <v>18.5</v>
      </c>
      <c r="D140" s="8">
        <v>41.2</v>
      </c>
      <c r="E140" s="8">
        <f>MAX(0, D140-40)</f>
        <v>1.2000000000000028</v>
      </c>
      <c r="F140" s="7">
        <f>MIN(D140,40)*C140</f>
        <v>740</v>
      </c>
      <c r="G140" s="9">
        <f>E140 * C140 * 1.5</f>
        <v>33.300000000000082</v>
      </c>
      <c r="H140" s="7">
        <f>F140+G140</f>
        <v>773.30000000000007</v>
      </c>
      <c r="I140" s="7">
        <f>MAX(0,
IF(H140&lt;=800,
H140*0.2,
800*0.2+(H140-800)*0.4
)-70
)</f>
        <v>84.660000000000025</v>
      </c>
      <c r="J140" s="7">
        <f>IF(H140&lt;=231,
H140*0.005,
IF(H140&lt;=693,
231*0.005+(H140-231)*0.02,
231*0.005+462*0.02+(H140-693)*0.045
))</f>
        <v>14.008500000000002</v>
      </c>
      <c r="K140" s="7">
        <f>H140*0.04</f>
        <v>30.932000000000002</v>
      </c>
      <c r="L140" s="7">
        <f>I140+J140+K140</f>
        <v>129.60050000000001</v>
      </c>
      <c r="M140" s="7">
        <f>H140-L140</f>
        <v>643.69950000000006</v>
      </c>
    </row>
    <row r="141" spans="1:13" x14ac:dyDescent="0.3">
      <c r="A141" t="s">
        <v>63</v>
      </c>
      <c r="B141" t="s">
        <v>29</v>
      </c>
      <c r="C141" s="7">
        <v>21.43</v>
      </c>
      <c r="D141" s="8">
        <v>36.1</v>
      </c>
      <c r="E141" s="8">
        <f>MAX(0, D141-40)</f>
        <v>0</v>
      </c>
      <c r="F141" s="7">
        <f>MIN(D141,40)*C141</f>
        <v>773.62300000000005</v>
      </c>
      <c r="G141" s="9">
        <f>E141 * C141 * 1.5</f>
        <v>0</v>
      </c>
      <c r="H141" s="7">
        <f>F141+G141</f>
        <v>773.62300000000005</v>
      </c>
      <c r="I141" s="7">
        <f>MAX(0,
IF(H141&lt;=800,
H141*0.2,
800*0.2+(H141-800)*0.4
)-70
)</f>
        <v>84.724600000000009</v>
      </c>
      <c r="J141" s="7">
        <f>IF(H141&lt;=231,
H141*0.005,
IF(H141&lt;=693,
231*0.005+(H141-231)*0.02,
231*0.005+462*0.02+(H141-693)*0.045
))</f>
        <v>14.023035000000002</v>
      </c>
      <c r="K141" s="7">
        <f>H141*0.04</f>
        <v>30.944920000000003</v>
      </c>
      <c r="L141" s="7">
        <f>I141+J141+K141</f>
        <v>129.69255500000003</v>
      </c>
      <c r="M141" s="7">
        <f>H141-L141</f>
        <v>643.93044499999996</v>
      </c>
    </row>
    <row r="142" spans="1:13" x14ac:dyDescent="0.3">
      <c r="A142" t="s">
        <v>426</v>
      </c>
      <c r="B142" t="s">
        <v>57</v>
      </c>
      <c r="C142" s="7">
        <v>19.13</v>
      </c>
      <c r="D142" s="8">
        <v>40.299999999999997</v>
      </c>
      <c r="E142" s="8">
        <f>MAX(0, D142-40)</f>
        <v>0.29999999999999716</v>
      </c>
      <c r="F142" s="7">
        <f>MIN(D142,40)*C142</f>
        <v>765.19999999999993</v>
      </c>
      <c r="G142" s="9">
        <f>E142 * C142 * 1.5</f>
        <v>8.6084999999999177</v>
      </c>
      <c r="H142" s="7">
        <f>F142+G142</f>
        <v>773.80849999999987</v>
      </c>
      <c r="I142" s="7">
        <f>MAX(0,
IF(H142&lt;=800,
H142*0.2,
800*0.2+(H142-800)*0.4
)-70
)</f>
        <v>84.76169999999999</v>
      </c>
      <c r="J142" s="7">
        <f>IF(H142&lt;=231,
H142*0.005,
IF(H142&lt;=693,
231*0.005+(H142-231)*0.02,
231*0.005+462*0.02+(H142-693)*0.045
))</f>
        <v>14.031382499999994</v>
      </c>
      <c r="K142" s="7">
        <f>H142*0.04</f>
        <v>30.952339999999996</v>
      </c>
      <c r="L142" s="7">
        <f>I142+J142+K142</f>
        <v>129.74542249999999</v>
      </c>
      <c r="M142" s="7">
        <f>H142-L142</f>
        <v>644.06307749999985</v>
      </c>
    </row>
    <row r="143" spans="1:13" x14ac:dyDescent="0.3">
      <c r="A143" t="s">
        <v>135</v>
      </c>
      <c r="B143" t="s">
        <v>9</v>
      </c>
      <c r="C143" s="7">
        <v>18.329999999999998</v>
      </c>
      <c r="D143" s="8">
        <v>41.5</v>
      </c>
      <c r="E143" s="8">
        <f>MAX(0, D143-40)</f>
        <v>1.5</v>
      </c>
      <c r="F143" s="7">
        <f>MIN(D143,40)*C143</f>
        <v>733.19999999999993</v>
      </c>
      <c r="G143" s="9">
        <f>E143 * C143 * 1.5</f>
        <v>41.242499999999993</v>
      </c>
      <c r="H143" s="7">
        <f>F143+G143</f>
        <v>774.44249999999988</v>
      </c>
      <c r="I143" s="7">
        <f>MAX(0,
IF(H143&lt;=800,
H143*0.2,
800*0.2+(H143-800)*0.4
)-70
)</f>
        <v>84.888499999999993</v>
      </c>
      <c r="J143" s="7">
        <f>IF(H143&lt;=231,
H143*0.005,
IF(H143&lt;=693,
231*0.005+(H143-231)*0.02,
231*0.005+462*0.02+(H143-693)*0.045
))</f>
        <v>14.059912499999994</v>
      </c>
      <c r="K143" s="7">
        <f>H143*0.04</f>
        <v>30.977699999999995</v>
      </c>
      <c r="L143" s="7">
        <f>I143+J143+K143</f>
        <v>129.92611249999999</v>
      </c>
      <c r="M143" s="7">
        <f>H143-L143</f>
        <v>644.51638749999984</v>
      </c>
    </row>
    <row r="144" spans="1:13" x14ac:dyDescent="0.3">
      <c r="A144" t="s">
        <v>455</v>
      </c>
      <c r="B144" t="s">
        <v>13</v>
      </c>
      <c r="C144" s="7">
        <v>21.43</v>
      </c>
      <c r="D144" s="8">
        <v>36.4</v>
      </c>
      <c r="E144" s="8">
        <f>MAX(0, D144-40)</f>
        <v>0</v>
      </c>
      <c r="F144" s="7">
        <f>MIN(D144,40)*C144</f>
        <v>780.05199999999991</v>
      </c>
      <c r="G144" s="9">
        <f>E144 * C144 * 1.5</f>
        <v>0</v>
      </c>
      <c r="H144" s="7">
        <f>F144+G144</f>
        <v>780.05199999999991</v>
      </c>
      <c r="I144" s="7">
        <f>MAX(0,
IF(H144&lt;=800,
H144*0.2,
800*0.2+(H144-800)*0.4
)-70
)</f>
        <v>86.010400000000004</v>
      </c>
      <c r="J144" s="7">
        <f>IF(H144&lt;=231,
H144*0.005,
IF(H144&lt;=693,
231*0.005+(H144-231)*0.02,
231*0.005+462*0.02+(H144-693)*0.045
))</f>
        <v>14.312339999999995</v>
      </c>
      <c r="K144" s="7">
        <f>H144*0.04</f>
        <v>31.202079999999999</v>
      </c>
      <c r="L144" s="7">
        <f>I144+J144+K144</f>
        <v>131.52482000000001</v>
      </c>
      <c r="M144" s="7">
        <f>H144-L144</f>
        <v>648.52717999999993</v>
      </c>
    </row>
    <row r="145" spans="1:13" x14ac:dyDescent="0.3">
      <c r="A145" t="s">
        <v>157</v>
      </c>
      <c r="B145" t="s">
        <v>61</v>
      </c>
      <c r="C145" s="7">
        <v>20.67</v>
      </c>
      <c r="D145" s="8">
        <v>37.799999999999997</v>
      </c>
      <c r="E145" s="8">
        <f>MAX(0, D145-40)</f>
        <v>0</v>
      </c>
      <c r="F145" s="7">
        <f>MIN(D145,40)*C145</f>
        <v>781.32600000000002</v>
      </c>
      <c r="G145" s="9">
        <f>E145 * C145 * 1.5</f>
        <v>0</v>
      </c>
      <c r="H145" s="7">
        <f>F145+G145</f>
        <v>781.32600000000002</v>
      </c>
      <c r="I145" s="7">
        <f>MAX(0,
IF(H145&lt;=800,
H145*0.2,
800*0.2+(H145-800)*0.4
)-70
)</f>
        <v>86.265200000000021</v>
      </c>
      <c r="J145" s="7">
        <f>IF(H145&lt;=231,
H145*0.005,
IF(H145&lt;=693,
231*0.005+(H145-231)*0.02,
231*0.005+462*0.02+(H145-693)*0.045
))</f>
        <v>14.369670000000001</v>
      </c>
      <c r="K145" s="7">
        <f>H145*0.04</f>
        <v>31.253040000000002</v>
      </c>
      <c r="L145" s="7">
        <f>I145+J145+K145</f>
        <v>131.88791000000003</v>
      </c>
      <c r="M145" s="7">
        <f>H145-L145</f>
        <v>649.43808999999999</v>
      </c>
    </row>
    <row r="146" spans="1:13" x14ac:dyDescent="0.3">
      <c r="A146" t="s">
        <v>181</v>
      </c>
      <c r="B146" t="s">
        <v>61</v>
      </c>
      <c r="C146" s="7">
        <v>20.96</v>
      </c>
      <c r="D146" s="8">
        <v>37.299999999999997</v>
      </c>
      <c r="E146" s="8">
        <f>MAX(0, D146-40)</f>
        <v>0</v>
      </c>
      <c r="F146" s="7">
        <f>MIN(D146,40)*C146</f>
        <v>781.80799999999999</v>
      </c>
      <c r="G146" s="9">
        <f>E146 * C146 * 1.5</f>
        <v>0</v>
      </c>
      <c r="H146" s="7">
        <f>F146+G146</f>
        <v>781.80799999999999</v>
      </c>
      <c r="I146" s="7">
        <f>MAX(0,
IF(H146&lt;=800,
H146*0.2,
800*0.2+(H146-800)*0.4
)-70
)</f>
        <v>86.36160000000001</v>
      </c>
      <c r="J146" s="7">
        <f>IF(H146&lt;=231,
H146*0.005,
IF(H146&lt;=693,
231*0.005+(H146-231)*0.02,
231*0.005+462*0.02+(H146-693)*0.045
))</f>
        <v>14.391359999999999</v>
      </c>
      <c r="K146" s="7">
        <f>H146*0.04</f>
        <v>31.272320000000001</v>
      </c>
      <c r="L146" s="7">
        <f>I146+J146+K146</f>
        <v>132.02528000000001</v>
      </c>
      <c r="M146" s="7">
        <f>H146-L146</f>
        <v>649.78271999999993</v>
      </c>
    </row>
    <row r="147" spans="1:13" x14ac:dyDescent="0.3">
      <c r="A147" t="s">
        <v>167</v>
      </c>
      <c r="B147" t="s">
        <v>55</v>
      </c>
      <c r="C147" s="7">
        <v>21.37</v>
      </c>
      <c r="D147" s="8">
        <v>36.6</v>
      </c>
      <c r="E147" s="8">
        <f>MAX(0, D147-40)</f>
        <v>0</v>
      </c>
      <c r="F147" s="7">
        <f>MIN(D147,40)*C147</f>
        <v>782.14200000000005</v>
      </c>
      <c r="G147" s="9">
        <f>E147 * C147 * 1.5</f>
        <v>0</v>
      </c>
      <c r="H147" s="7">
        <f>F147+G147</f>
        <v>782.14200000000005</v>
      </c>
      <c r="I147" s="7">
        <f>MAX(0,
IF(H147&lt;=800,
H147*0.2,
800*0.2+(H147-800)*0.4
)-70
)</f>
        <v>86.428400000000011</v>
      </c>
      <c r="J147" s="7">
        <f>IF(H147&lt;=231,
H147*0.005,
IF(H147&lt;=693,
231*0.005+(H147-231)*0.02,
231*0.005+462*0.02+(H147-693)*0.045
))</f>
        <v>14.406390000000002</v>
      </c>
      <c r="K147" s="7">
        <f>H147*0.04</f>
        <v>31.285680000000003</v>
      </c>
      <c r="L147" s="7">
        <f>I147+J147+K147</f>
        <v>132.12047000000001</v>
      </c>
      <c r="M147" s="7">
        <f>H147-L147</f>
        <v>650.02152999999998</v>
      </c>
    </row>
    <row r="148" spans="1:13" x14ac:dyDescent="0.3">
      <c r="A148" t="s">
        <v>60</v>
      </c>
      <c r="B148" t="s">
        <v>61</v>
      </c>
      <c r="C148" s="7">
        <v>20.350000000000001</v>
      </c>
      <c r="D148" s="8">
        <v>38.5</v>
      </c>
      <c r="E148" s="8">
        <f>MAX(0, D148-40)</f>
        <v>0</v>
      </c>
      <c r="F148" s="7">
        <f>MIN(D148,40)*C148</f>
        <v>783.47500000000002</v>
      </c>
      <c r="G148" s="9">
        <f>E148 * C148 * 1.5</f>
        <v>0</v>
      </c>
      <c r="H148" s="7">
        <f>F148+G148</f>
        <v>783.47500000000002</v>
      </c>
      <c r="I148" s="7">
        <f>MAX(0,
IF(H148&lt;=800,
H148*0.2,
800*0.2+(H148-800)*0.4
)-70
)</f>
        <v>86.695000000000022</v>
      </c>
      <c r="J148" s="7">
        <f>IF(H148&lt;=231,
H148*0.005,
IF(H148&lt;=693,
231*0.005+(H148-231)*0.02,
231*0.005+462*0.02+(H148-693)*0.045
))</f>
        <v>14.466374999999999</v>
      </c>
      <c r="K148" s="7">
        <f>H148*0.04</f>
        <v>31.339000000000002</v>
      </c>
      <c r="L148" s="7">
        <f>I148+J148+K148</f>
        <v>132.50037500000002</v>
      </c>
      <c r="M148" s="7">
        <f>H148-L148</f>
        <v>650.97462500000006</v>
      </c>
    </row>
    <row r="149" spans="1:13" x14ac:dyDescent="0.3">
      <c r="A149" t="s">
        <v>68</v>
      </c>
      <c r="B149" t="s">
        <v>32</v>
      </c>
      <c r="C149" s="7">
        <v>16.55</v>
      </c>
      <c r="D149" s="8">
        <v>44.9</v>
      </c>
      <c r="E149" s="8">
        <f>MAX(0, D149-40)</f>
        <v>4.8999999999999986</v>
      </c>
      <c r="F149" s="7">
        <f>MIN(D149,40)*C149</f>
        <v>662</v>
      </c>
      <c r="G149" s="9">
        <f>E149 * C149 * 1.5</f>
        <v>121.64249999999998</v>
      </c>
      <c r="H149" s="7">
        <f>F149+G149</f>
        <v>783.64249999999993</v>
      </c>
      <c r="I149" s="7">
        <f>MAX(0,
IF(H149&lt;=800,
H149*0.2,
800*0.2+(H149-800)*0.4
)-70
)</f>
        <v>86.728499999999997</v>
      </c>
      <c r="J149" s="7">
        <f>IF(H149&lt;=231,
H149*0.005,
IF(H149&lt;=693,
231*0.005+(H149-231)*0.02,
231*0.005+462*0.02+(H149-693)*0.045
))</f>
        <v>14.473912499999997</v>
      </c>
      <c r="K149" s="7">
        <f>H149*0.04</f>
        <v>31.345699999999997</v>
      </c>
      <c r="L149" s="7">
        <f>I149+J149+K149</f>
        <v>132.5481125</v>
      </c>
      <c r="M149" s="7">
        <f>H149-L149</f>
        <v>651.09438749999993</v>
      </c>
    </row>
    <row r="150" spans="1:13" x14ac:dyDescent="0.3">
      <c r="A150" t="s">
        <v>432</v>
      </c>
      <c r="B150" t="s">
        <v>19</v>
      </c>
      <c r="C150" s="7">
        <v>18.239999999999998</v>
      </c>
      <c r="D150" s="8">
        <v>42</v>
      </c>
      <c r="E150" s="8">
        <f>MAX(0, D150-40)</f>
        <v>2</v>
      </c>
      <c r="F150" s="7">
        <f>MIN(D150,40)*C150</f>
        <v>729.59999999999991</v>
      </c>
      <c r="G150" s="9">
        <f>E150 * C150 * 1.5</f>
        <v>54.72</v>
      </c>
      <c r="H150" s="7">
        <f>F150+G150</f>
        <v>784.31999999999994</v>
      </c>
      <c r="I150" s="7">
        <f>MAX(0,
IF(H150&lt;=800,
H150*0.2,
800*0.2+(H150-800)*0.4
)-70
)</f>
        <v>86.864000000000004</v>
      </c>
      <c r="J150" s="7">
        <f>IF(H150&lt;=231,
H150*0.005,
IF(H150&lt;=693,
231*0.005+(H150-231)*0.02,
231*0.005+462*0.02+(H150-693)*0.045
))</f>
        <v>14.504399999999997</v>
      </c>
      <c r="K150" s="7">
        <f>H150*0.04</f>
        <v>31.372799999999998</v>
      </c>
      <c r="L150" s="7">
        <f>I150+J150+K150</f>
        <v>132.74119999999999</v>
      </c>
      <c r="M150" s="7">
        <f>H150-L150</f>
        <v>651.5788</v>
      </c>
    </row>
    <row r="151" spans="1:13" x14ac:dyDescent="0.3">
      <c r="A151" t="s">
        <v>435</v>
      </c>
      <c r="B151" t="s">
        <v>17</v>
      </c>
      <c r="C151" s="7">
        <v>20.86</v>
      </c>
      <c r="D151" s="8">
        <v>37.799999999999997</v>
      </c>
      <c r="E151" s="8">
        <f>MAX(0, D151-40)</f>
        <v>0</v>
      </c>
      <c r="F151" s="7">
        <f>MIN(D151,40)*C151</f>
        <v>788.50799999999992</v>
      </c>
      <c r="G151" s="9">
        <f>E151 * C151 * 1.5</f>
        <v>0</v>
      </c>
      <c r="H151" s="7">
        <f>F151+G151</f>
        <v>788.50799999999992</v>
      </c>
      <c r="I151" s="7">
        <f>MAX(0,
IF(H151&lt;=800,
H151*0.2,
800*0.2+(H151-800)*0.4
)-70
)</f>
        <v>87.701599999999985</v>
      </c>
      <c r="J151" s="7">
        <f>IF(H151&lt;=231,
H151*0.005,
IF(H151&lt;=693,
231*0.005+(H151-231)*0.02,
231*0.005+462*0.02+(H151-693)*0.045
))</f>
        <v>14.692859999999996</v>
      </c>
      <c r="K151" s="7">
        <f>H151*0.04</f>
        <v>31.540319999999998</v>
      </c>
      <c r="L151" s="7">
        <f>I151+J151+K151</f>
        <v>133.93477999999999</v>
      </c>
      <c r="M151" s="7">
        <f>H151-L151</f>
        <v>654.57321999999999</v>
      </c>
    </row>
    <row r="152" spans="1:13" x14ac:dyDescent="0.3">
      <c r="A152" t="s">
        <v>266</v>
      </c>
      <c r="B152" t="s">
        <v>29</v>
      </c>
      <c r="C152" s="7">
        <v>21.21</v>
      </c>
      <c r="D152" s="8">
        <v>37.200000000000003</v>
      </c>
      <c r="E152" s="8">
        <f>MAX(0, D152-40)</f>
        <v>0</v>
      </c>
      <c r="F152" s="7">
        <f>MIN(D152,40)*C152</f>
        <v>789.01200000000006</v>
      </c>
      <c r="G152" s="9">
        <f>E152 * C152 * 1.5</f>
        <v>0</v>
      </c>
      <c r="H152" s="7">
        <f>F152+G152</f>
        <v>789.01200000000006</v>
      </c>
      <c r="I152" s="7">
        <f>MAX(0,
IF(H152&lt;=800,
H152*0.2,
800*0.2+(H152-800)*0.4
)-70
)</f>
        <v>87.802400000000034</v>
      </c>
      <c r="J152" s="7">
        <f>IF(H152&lt;=231,
H152*0.005,
IF(H152&lt;=693,
231*0.005+(H152-231)*0.02,
231*0.005+462*0.02+(H152-693)*0.045
))</f>
        <v>14.715540000000001</v>
      </c>
      <c r="K152" s="7">
        <f>H152*0.04</f>
        <v>31.560480000000002</v>
      </c>
      <c r="L152" s="7">
        <f>I152+J152+K152</f>
        <v>134.07842000000005</v>
      </c>
      <c r="M152" s="7">
        <f>H152-L152</f>
        <v>654.93358000000001</v>
      </c>
    </row>
    <row r="153" spans="1:13" x14ac:dyDescent="0.3">
      <c r="A153" t="s">
        <v>111</v>
      </c>
      <c r="B153" t="s">
        <v>46</v>
      </c>
      <c r="C153" s="7">
        <v>21.22</v>
      </c>
      <c r="D153" s="8">
        <v>37.200000000000003</v>
      </c>
      <c r="E153" s="8">
        <f>MAX(0, D153-40)</f>
        <v>0</v>
      </c>
      <c r="F153" s="7">
        <f>MIN(D153,40)*C153</f>
        <v>789.38400000000001</v>
      </c>
      <c r="G153" s="9">
        <f>E153 * C153 * 1.5</f>
        <v>0</v>
      </c>
      <c r="H153" s="7">
        <f>F153+G153</f>
        <v>789.38400000000001</v>
      </c>
      <c r="I153" s="7">
        <f>MAX(0,
IF(H153&lt;=800,
H153*0.2,
800*0.2+(H153-800)*0.4
)-70
)</f>
        <v>87.876800000000003</v>
      </c>
      <c r="J153" s="7">
        <f>IF(H153&lt;=231,
H153*0.005,
IF(H153&lt;=693,
231*0.005+(H153-231)*0.02,
231*0.005+462*0.02+(H153-693)*0.045
))</f>
        <v>14.732279999999999</v>
      </c>
      <c r="K153" s="7">
        <f>H153*0.04</f>
        <v>31.57536</v>
      </c>
      <c r="L153" s="7">
        <f>I153+J153+K153</f>
        <v>134.18444</v>
      </c>
      <c r="M153" s="7">
        <f>H153-L153</f>
        <v>655.19956000000002</v>
      </c>
    </row>
    <row r="154" spans="1:13" x14ac:dyDescent="0.3">
      <c r="A154" t="s">
        <v>166</v>
      </c>
      <c r="B154" t="s">
        <v>19</v>
      </c>
      <c r="C154" s="7">
        <v>18.14</v>
      </c>
      <c r="D154" s="8">
        <v>42.4</v>
      </c>
      <c r="E154" s="8">
        <f>MAX(0, D154-40)</f>
        <v>2.3999999999999986</v>
      </c>
      <c r="F154" s="7">
        <f>MIN(D154,40)*C154</f>
        <v>725.6</v>
      </c>
      <c r="G154" s="9">
        <f>E154 * C154 * 1.5</f>
        <v>65.303999999999959</v>
      </c>
      <c r="H154" s="7">
        <f>F154+G154</f>
        <v>790.904</v>
      </c>
      <c r="I154" s="7">
        <f>MAX(0,
IF(H154&lt;=800,
H154*0.2,
800*0.2+(H154-800)*0.4
)-70
)</f>
        <v>88.180800000000005</v>
      </c>
      <c r="J154" s="7">
        <f>IF(H154&lt;=231,
H154*0.005,
IF(H154&lt;=693,
231*0.005+(H154-231)*0.02,
231*0.005+462*0.02+(H154-693)*0.045
))</f>
        <v>14.80068</v>
      </c>
      <c r="K154" s="7">
        <f>H154*0.04</f>
        <v>31.63616</v>
      </c>
      <c r="L154" s="7">
        <f>I154+J154+K154</f>
        <v>134.61763999999999</v>
      </c>
      <c r="M154" s="7">
        <f>H154-L154</f>
        <v>656.28636000000006</v>
      </c>
    </row>
    <row r="155" spans="1:13" x14ac:dyDescent="0.3">
      <c r="A155" t="s">
        <v>402</v>
      </c>
      <c r="B155" t="s">
        <v>61</v>
      </c>
      <c r="C155" s="7">
        <v>20.09</v>
      </c>
      <c r="D155" s="8">
        <v>39.5</v>
      </c>
      <c r="E155" s="8">
        <f>MAX(0, D155-40)</f>
        <v>0</v>
      </c>
      <c r="F155" s="7">
        <f>MIN(D155,40)*C155</f>
        <v>793.55499999999995</v>
      </c>
      <c r="G155" s="9">
        <f>E155 * C155 * 1.5</f>
        <v>0</v>
      </c>
      <c r="H155" s="7">
        <f>F155+G155</f>
        <v>793.55499999999995</v>
      </c>
      <c r="I155" s="7">
        <f>MAX(0,
IF(H155&lt;=800,
H155*0.2,
800*0.2+(H155-800)*0.4
)-70
)</f>
        <v>88.711000000000013</v>
      </c>
      <c r="J155" s="7">
        <f>IF(H155&lt;=231,
H155*0.005,
IF(H155&lt;=693,
231*0.005+(H155-231)*0.02,
231*0.005+462*0.02+(H155-693)*0.045
))</f>
        <v>14.919974999999997</v>
      </c>
      <c r="K155" s="7">
        <f>H155*0.04</f>
        <v>31.7422</v>
      </c>
      <c r="L155" s="7">
        <f>I155+J155+K155</f>
        <v>135.373175</v>
      </c>
      <c r="M155" s="7">
        <f>H155-L155</f>
        <v>658.18182499999989</v>
      </c>
    </row>
    <row r="156" spans="1:13" x14ac:dyDescent="0.3">
      <c r="A156" t="s">
        <v>177</v>
      </c>
      <c r="B156" t="s">
        <v>27</v>
      </c>
      <c r="C156" s="7">
        <v>18.82</v>
      </c>
      <c r="D156" s="8">
        <v>41.5</v>
      </c>
      <c r="E156" s="8">
        <f>MAX(0, D156-40)</f>
        <v>1.5</v>
      </c>
      <c r="F156" s="7">
        <f>MIN(D156,40)*C156</f>
        <v>752.8</v>
      </c>
      <c r="G156" s="9">
        <f>E156 * C156 * 1.5</f>
        <v>42.344999999999999</v>
      </c>
      <c r="H156" s="7">
        <f>F156+G156</f>
        <v>795.14499999999998</v>
      </c>
      <c r="I156" s="7">
        <f>MAX(0,
IF(H156&lt;=800,
H156*0.2,
800*0.2+(H156-800)*0.4
)-70
)</f>
        <v>89.028999999999996</v>
      </c>
      <c r="J156" s="7">
        <f>IF(H156&lt;=231,
H156*0.005,
IF(H156&lt;=693,
231*0.005+(H156-231)*0.02,
231*0.005+462*0.02+(H156-693)*0.045
))</f>
        <v>14.991524999999999</v>
      </c>
      <c r="K156" s="7">
        <f>H156*0.04</f>
        <v>31.805800000000001</v>
      </c>
      <c r="L156" s="7">
        <f>I156+J156+K156</f>
        <v>135.826325</v>
      </c>
      <c r="M156" s="7">
        <f>H156-L156</f>
        <v>659.31867499999998</v>
      </c>
    </row>
    <row r="157" spans="1:13" x14ac:dyDescent="0.3">
      <c r="A157" t="s">
        <v>168</v>
      </c>
      <c r="B157" t="s">
        <v>27</v>
      </c>
      <c r="C157" s="7">
        <v>18.59</v>
      </c>
      <c r="D157" s="8">
        <v>41.9</v>
      </c>
      <c r="E157" s="8">
        <f>MAX(0, D157-40)</f>
        <v>1.8999999999999986</v>
      </c>
      <c r="F157" s="7">
        <f>MIN(D157,40)*C157</f>
        <v>743.6</v>
      </c>
      <c r="G157" s="9">
        <f>E157 * C157 * 1.5</f>
        <v>52.981499999999969</v>
      </c>
      <c r="H157" s="7">
        <f>F157+G157</f>
        <v>796.58150000000001</v>
      </c>
      <c r="I157" s="7">
        <f>MAX(0,
IF(H157&lt;=800,
H157*0.2,
800*0.2+(H157-800)*0.4
)-70
)</f>
        <v>89.316300000000012</v>
      </c>
      <c r="J157" s="7">
        <f>IF(H157&lt;=231,
H157*0.005,
IF(H157&lt;=693,
231*0.005+(H157-231)*0.02,
231*0.005+462*0.02+(H157-693)*0.045
))</f>
        <v>15.056167500000001</v>
      </c>
      <c r="K157" s="7">
        <f>H157*0.04</f>
        <v>31.86326</v>
      </c>
      <c r="L157" s="7">
        <f>I157+J157+K157</f>
        <v>136.23572750000002</v>
      </c>
      <c r="M157" s="7">
        <f>H157-L157</f>
        <v>660.34577249999995</v>
      </c>
    </row>
    <row r="158" spans="1:13" x14ac:dyDescent="0.3">
      <c r="A158" t="s">
        <v>181</v>
      </c>
      <c r="B158" t="s">
        <v>5</v>
      </c>
      <c r="C158" s="7">
        <v>20.89</v>
      </c>
      <c r="D158" s="8">
        <v>38.200000000000003</v>
      </c>
      <c r="E158" s="8">
        <f>MAX(0, D158-40)</f>
        <v>0</v>
      </c>
      <c r="F158" s="7">
        <f>MIN(D158,40)*C158</f>
        <v>797.99800000000005</v>
      </c>
      <c r="G158" s="9">
        <f>E158 * C158 * 1.5</f>
        <v>0</v>
      </c>
      <c r="H158" s="7">
        <f>F158+G158</f>
        <v>797.99800000000005</v>
      </c>
      <c r="I158" s="7">
        <f>MAX(0,
IF(H158&lt;=800,
H158*0.2,
800*0.2+(H158-800)*0.4
)-70
)</f>
        <v>89.599600000000009</v>
      </c>
      <c r="J158" s="7">
        <f>IF(H158&lt;=231,
H158*0.005,
IF(H158&lt;=693,
231*0.005+(H158-231)*0.02,
231*0.005+462*0.02+(H158-693)*0.045
))</f>
        <v>15.119910000000001</v>
      </c>
      <c r="K158" s="7">
        <f>H158*0.04</f>
        <v>31.919920000000001</v>
      </c>
      <c r="L158" s="7">
        <f>I158+J158+K158</f>
        <v>136.63943</v>
      </c>
      <c r="M158" s="7">
        <f>H158-L158</f>
        <v>661.3585700000001</v>
      </c>
    </row>
    <row r="159" spans="1:13" x14ac:dyDescent="0.3">
      <c r="A159" t="s">
        <v>277</v>
      </c>
      <c r="B159" t="s">
        <v>32</v>
      </c>
      <c r="C159" s="7">
        <v>20.82</v>
      </c>
      <c r="D159" s="8">
        <v>38.4</v>
      </c>
      <c r="E159" s="8">
        <f>MAX(0, D159-40)</f>
        <v>0</v>
      </c>
      <c r="F159" s="7">
        <f>MIN(D159,40)*C159</f>
        <v>799.48799999999994</v>
      </c>
      <c r="G159" s="9">
        <f>E159 * C159 * 1.5</f>
        <v>0</v>
      </c>
      <c r="H159" s="7">
        <f>F159+G159</f>
        <v>799.48799999999994</v>
      </c>
      <c r="I159" s="7">
        <f>MAX(0,
IF(H159&lt;=800,
H159*0.2,
800*0.2+(H159-800)*0.4
)-70
)</f>
        <v>89.897600000000011</v>
      </c>
      <c r="J159" s="7">
        <f>IF(H159&lt;=231,
H159*0.005,
IF(H159&lt;=693,
231*0.005+(H159-231)*0.02,
231*0.005+462*0.02+(H159-693)*0.045
))</f>
        <v>15.186959999999996</v>
      </c>
      <c r="K159" s="7">
        <f>H159*0.04</f>
        <v>31.979519999999997</v>
      </c>
      <c r="L159" s="7">
        <f>I159+J159+K159</f>
        <v>137.06408000000002</v>
      </c>
      <c r="M159" s="7">
        <f>H159-L159</f>
        <v>662.42391999999995</v>
      </c>
    </row>
    <row r="160" spans="1:13" x14ac:dyDescent="0.3">
      <c r="A160" t="s">
        <v>196</v>
      </c>
      <c r="B160" t="s">
        <v>49</v>
      </c>
      <c r="C160" s="7">
        <v>19.34</v>
      </c>
      <c r="D160" s="8">
        <v>40.9</v>
      </c>
      <c r="E160" s="8">
        <f>MAX(0, D160-40)</f>
        <v>0.89999999999999858</v>
      </c>
      <c r="F160" s="7">
        <f>MIN(D160,40)*C160</f>
        <v>773.6</v>
      </c>
      <c r="G160" s="9">
        <f>E160 * C160 * 1.5</f>
        <v>26.108999999999959</v>
      </c>
      <c r="H160" s="7">
        <f>F160+G160</f>
        <v>799.70899999999995</v>
      </c>
      <c r="I160" s="7">
        <f>MAX(0,
IF(H160&lt;=800,
H160*0.2,
800*0.2+(H160-800)*0.4
)-70
)</f>
        <v>89.941800000000001</v>
      </c>
      <c r="J160" s="7">
        <f>IF(H160&lt;=231,
H160*0.005,
IF(H160&lt;=693,
231*0.005+(H160-231)*0.02,
231*0.005+462*0.02+(H160-693)*0.045
))</f>
        <v>15.196904999999997</v>
      </c>
      <c r="K160" s="7">
        <f>H160*0.04</f>
        <v>31.98836</v>
      </c>
      <c r="L160" s="7">
        <f>I160+J160+K160</f>
        <v>137.12706500000002</v>
      </c>
      <c r="M160" s="7">
        <f>H160-L160</f>
        <v>662.58193499999993</v>
      </c>
    </row>
    <row r="161" spans="1:13" x14ac:dyDescent="0.3">
      <c r="A161" t="s">
        <v>325</v>
      </c>
      <c r="B161" t="s">
        <v>9</v>
      </c>
      <c r="C161" s="7">
        <v>19.64</v>
      </c>
      <c r="D161" s="8">
        <v>40.5</v>
      </c>
      <c r="E161" s="8">
        <f>MAX(0, D161-40)</f>
        <v>0.5</v>
      </c>
      <c r="F161" s="7">
        <f>MIN(D161,40)*C161</f>
        <v>785.6</v>
      </c>
      <c r="G161" s="9">
        <f>E161 * C161 * 1.5</f>
        <v>14.73</v>
      </c>
      <c r="H161" s="7">
        <f>F161+G161</f>
        <v>800.33</v>
      </c>
      <c r="I161" s="7">
        <f>MAX(0,
IF(H161&lt;=800,
H161*0.2,
800*0.2+(H161-800)*0.4
)-70
)</f>
        <v>90.132000000000005</v>
      </c>
      <c r="J161" s="7">
        <f>IF(H161&lt;=231,
H161*0.005,
IF(H161&lt;=693,
231*0.005+(H161-231)*0.02,
231*0.005+462*0.02+(H161-693)*0.045
))</f>
        <v>15.22485</v>
      </c>
      <c r="K161" s="7">
        <f>H161*0.04</f>
        <v>32.013200000000005</v>
      </c>
      <c r="L161" s="7">
        <f>I161+J161+K161</f>
        <v>137.37005000000002</v>
      </c>
      <c r="M161" s="7">
        <f>H161-L161</f>
        <v>662.95995000000005</v>
      </c>
    </row>
    <row r="162" spans="1:13" x14ac:dyDescent="0.3">
      <c r="A162" t="s">
        <v>194</v>
      </c>
      <c r="B162" t="s">
        <v>145</v>
      </c>
      <c r="C162" s="7">
        <v>18.37</v>
      </c>
      <c r="D162" s="8">
        <v>42.4</v>
      </c>
      <c r="E162" s="8">
        <f>MAX(0, D162-40)</f>
        <v>2.3999999999999986</v>
      </c>
      <c r="F162" s="7">
        <f>MIN(D162,40)*C162</f>
        <v>734.80000000000007</v>
      </c>
      <c r="G162" s="9">
        <f>E162 * C162 * 1.5</f>
        <v>66.131999999999977</v>
      </c>
      <c r="H162" s="7">
        <f>F162+G162</f>
        <v>800.93200000000002</v>
      </c>
      <c r="I162" s="7">
        <f>MAX(0,
IF(H162&lt;=800,
H162*0.2,
800*0.2+(H162-800)*0.4
)-70
)</f>
        <v>90.372800000000012</v>
      </c>
      <c r="J162" s="7">
        <f>IF(H162&lt;=231,
H162*0.005,
IF(H162&lt;=693,
231*0.005+(H162-231)*0.02,
231*0.005+462*0.02+(H162-693)*0.045
))</f>
        <v>15.251940000000001</v>
      </c>
      <c r="K162" s="7">
        <f>H162*0.04</f>
        <v>32.037280000000003</v>
      </c>
      <c r="L162" s="7">
        <f>I162+J162+K162</f>
        <v>137.66202000000001</v>
      </c>
      <c r="M162" s="7">
        <f>H162-L162</f>
        <v>663.26998000000003</v>
      </c>
    </row>
    <row r="163" spans="1:13" x14ac:dyDescent="0.3">
      <c r="A163" t="s">
        <v>360</v>
      </c>
      <c r="B163" t="s">
        <v>125</v>
      </c>
      <c r="C163" s="7">
        <v>18.21</v>
      </c>
      <c r="D163" s="8">
        <v>42.7</v>
      </c>
      <c r="E163" s="8">
        <f>MAX(0, D163-40)</f>
        <v>2.7000000000000028</v>
      </c>
      <c r="F163" s="7">
        <f>MIN(D163,40)*C163</f>
        <v>728.40000000000009</v>
      </c>
      <c r="G163" s="9">
        <f>E163 * C163 * 1.5</f>
        <v>73.750500000000073</v>
      </c>
      <c r="H163" s="7">
        <f>F163+G163</f>
        <v>802.15050000000019</v>
      </c>
      <c r="I163" s="7">
        <f>MAX(0,
IF(H163&lt;=800,
H163*0.2,
800*0.2+(H163-800)*0.4
)-70
)</f>
        <v>90.860200000000077</v>
      </c>
      <c r="J163" s="7">
        <f>IF(H163&lt;=231,
H163*0.005,
IF(H163&lt;=693,
231*0.005+(H163-231)*0.02,
231*0.005+462*0.02+(H163-693)*0.045
))</f>
        <v>15.306772500000008</v>
      </c>
      <c r="K163" s="7">
        <f>H163*0.04</f>
        <v>32.086020000000005</v>
      </c>
      <c r="L163" s="7">
        <f>I163+J163+K163</f>
        <v>138.25299250000009</v>
      </c>
      <c r="M163" s="7">
        <f>H163-L163</f>
        <v>663.89750750000007</v>
      </c>
    </row>
    <row r="164" spans="1:13" x14ac:dyDescent="0.3">
      <c r="A164" t="s">
        <v>137</v>
      </c>
      <c r="B164" t="s">
        <v>73</v>
      </c>
      <c r="C164" s="7">
        <v>21.57</v>
      </c>
      <c r="D164" s="8">
        <v>37.200000000000003</v>
      </c>
      <c r="E164" s="8">
        <f>MAX(0, D164-40)</f>
        <v>0</v>
      </c>
      <c r="F164" s="7">
        <f>MIN(D164,40)*C164</f>
        <v>802.40400000000011</v>
      </c>
      <c r="G164" s="9">
        <f>E164 * C164 * 1.5</f>
        <v>0</v>
      </c>
      <c r="H164" s="7">
        <f>F164+G164</f>
        <v>802.40400000000011</v>
      </c>
      <c r="I164" s="7">
        <f>MAX(0,
IF(H164&lt;=800,
H164*0.2,
800*0.2+(H164-800)*0.4
)-70
)</f>
        <v>90.961600000000033</v>
      </c>
      <c r="J164" s="7">
        <f>IF(H164&lt;=231,
H164*0.005,
IF(H164&lt;=693,
231*0.005+(H164-231)*0.02,
231*0.005+462*0.02+(H164-693)*0.045
))</f>
        <v>15.318180000000005</v>
      </c>
      <c r="K164" s="7">
        <f>H164*0.04</f>
        <v>32.096160000000005</v>
      </c>
      <c r="L164" s="7">
        <f>I164+J164+K164</f>
        <v>138.37594000000004</v>
      </c>
      <c r="M164" s="7">
        <f>H164-L164</f>
        <v>664.0280600000001</v>
      </c>
    </row>
    <row r="165" spans="1:13" x14ac:dyDescent="0.3">
      <c r="A165" t="s">
        <v>339</v>
      </c>
      <c r="B165" t="s">
        <v>123</v>
      </c>
      <c r="C165" s="7">
        <v>22.26</v>
      </c>
      <c r="D165" s="8">
        <v>36.1</v>
      </c>
      <c r="E165" s="8">
        <f>MAX(0, D165-40)</f>
        <v>0</v>
      </c>
      <c r="F165" s="7">
        <f>MIN(D165,40)*C165</f>
        <v>803.58600000000013</v>
      </c>
      <c r="G165" s="9">
        <f>E165 * C165 * 1.5</f>
        <v>0</v>
      </c>
      <c r="H165" s="7">
        <f>F165+G165</f>
        <v>803.58600000000013</v>
      </c>
      <c r="I165" s="7">
        <f>MAX(0,
IF(H165&lt;=800,
H165*0.2,
800*0.2+(H165-800)*0.4
)-70
)</f>
        <v>91.434400000000039</v>
      </c>
      <c r="J165" s="7">
        <f>IF(H165&lt;=231,
H165*0.005,
IF(H165&lt;=693,
231*0.005+(H165-231)*0.02,
231*0.005+462*0.02+(H165-693)*0.045
))</f>
        <v>15.371370000000006</v>
      </c>
      <c r="K165" s="7">
        <f>H165*0.04</f>
        <v>32.143440000000005</v>
      </c>
      <c r="L165" s="7">
        <f>I165+J165+K165</f>
        <v>138.94921000000005</v>
      </c>
      <c r="M165" s="7">
        <f>H165-L165</f>
        <v>664.63679000000002</v>
      </c>
    </row>
    <row r="166" spans="1:13" x14ac:dyDescent="0.3">
      <c r="A166" t="s">
        <v>348</v>
      </c>
      <c r="B166" t="s">
        <v>29</v>
      </c>
      <c r="C166" s="7">
        <v>21.29</v>
      </c>
      <c r="D166" s="8">
        <v>37.799999999999997</v>
      </c>
      <c r="E166" s="8">
        <f>MAX(0, D166-40)</f>
        <v>0</v>
      </c>
      <c r="F166" s="7">
        <f>MIN(D166,40)*C166</f>
        <v>804.76199999999994</v>
      </c>
      <c r="G166" s="9">
        <f>E166 * C166 * 1.5</f>
        <v>0</v>
      </c>
      <c r="H166" s="7">
        <f>F166+G166</f>
        <v>804.76199999999994</v>
      </c>
      <c r="I166" s="7">
        <f>MAX(0,
IF(H166&lt;=800,
H166*0.2,
800*0.2+(H166-800)*0.4
)-70
)</f>
        <v>91.904799999999966</v>
      </c>
      <c r="J166" s="7">
        <f>IF(H166&lt;=231,
H166*0.005,
IF(H166&lt;=693,
231*0.005+(H166-231)*0.02,
231*0.005+462*0.02+(H166-693)*0.045
))</f>
        <v>15.424289999999996</v>
      </c>
      <c r="K166" s="7">
        <f>H166*0.04</f>
        <v>32.190480000000001</v>
      </c>
      <c r="L166" s="7">
        <f>I166+J166+K166</f>
        <v>139.51956999999996</v>
      </c>
      <c r="M166" s="7">
        <f>H166-L166</f>
        <v>665.24243000000001</v>
      </c>
    </row>
    <row r="167" spans="1:13" x14ac:dyDescent="0.3">
      <c r="A167" t="s">
        <v>306</v>
      </c>
      <c r="B167" t="s">
        <v>13</v>
      </c>
      <c r="C167" s="7">
        <v>17.28</v>
      </c>
      <c r="D167" s="8">
        <v>44.4</v>
      </c>
      <c r="E167" s="8">
        <f>MAX(0, D167-40)</f>
        <v>4.3999999999999986</v>
      </c>
      <c r="F167" s="7">
        <f>MIN(D167,40)*C167</f>
        <v>691.2</v>
      </c>
      <c r="G167" s="9">
        <f>E167 * C167 * 1.5</f>
        <v>114.04799999999997</v>
      </c>
      <c r="H167" s="7">
        <f>F167+G167</f>
        <v>805.24800000000005</v>
      </c>
      <c r="I167" s="7">
        <f>MAX(0,
IF(H167&lt;=800,
H167*0.2,
800*0.2+(H167-800)*0.4
)-70
)</f>
        <v>92.099200000000025</v>
      </c>
      <c r="J167" s="7">
        <f>IF(H167&lt;=231,
H167*0.005,
IF(H167&lt;=693,
231*0.005+(H167-231)*0.02,
231*0.005+462*0.02+(H167-693)*0.045
))</f>
        <v>15.446160000000003</v>
      </c>
      <c r="K167" s="7">
        <f>H167*0.04</f>
        <v>32.209920000000004</v>
      </c>
      <c r="L167" s="7">
        <f>I167+J167+K167</f>
        <v>139.75528000000003</v>
      </c>
      <c r="M167" s="7">
        <f>H167-L167</f>
        <v>665.49271999999996</v>
      </c>
    </row>
    <row r="168" spans="1:13" x14ac:dyDescent="0.3">
      <c r="A168" t="s">
        <v>403</v>
      </c>
      <c r="B168" t="s">
        <v>23</v>
      </c>
      <c r="C168" s="7">
        <v>20.67</v>
      </c>
      <c r="D168" s="8">
        <v>39</v>
      </c>
      <c r="E168" s="8">
        <f>MAX(0, D168-40)</f>
        <v>0</v>
      </c>
      <c r="F168" s="7">
        <f>MIN(D168,40)*C168</f>
        <v>806.13000000000011</v>
      </c>
      <c r="G168" s="9">
        <f>E168 * C168 * 1.5</f>
        <v>0</v>
      </c>
      <c r="H168" s="7">
        <f>F168+G168</f>
        <v>806.13000000000011</v>
      </c>
      <c r="I168" s="7">
        <f>MAX(0,
IF(H168&lt;=800,
H168*0.2,
800*0.2+(H168-800)*0.4
)-70
)</f>
        <v>92.452000000000055</v>
      </c>
      <c r="J168" s="7">
        <f>IF(H168&lt;=231,
H168*0.005,
IF(H168&lt;=693,
231*0.005+(H168-231)*0.02,
231*0.005+462*0.02+(H168-693)*0.045
))</f>
        <v>15.485850000000005</v>
      </c>
      <c r="K168" s="7">
        <f>H168*0.04</f>
        <v>32.245200000000004</v>
      </c>
      <c r="L168" s="7">
        <f>I168+J168+K168</f>
        <v>140.18305000000007</v>
      </c>
      <c r="M168" s="7">
        <f>H168-L168</f>
        <v>665.94695000000002</v>
      </c>
    </row>
    <row r="169" spans="1:13" x14ac:dyDescent="0.3">
      <c r="A169" t="s">
        <v>321</v>
      </c>
      <c r="B169" t="s">
        <v>123</v>
      </c>
      <c r="C169" s="7">
        <v>17.579999999999998</v>
      </c>
      <c r="D169" s="8">
        <v>44</v>
      </c>
      <c r="E169" s="8">
        <f>MAX(0, D169-40)</f>
        <v>4</v>
      </c>
      <c r="F169" s="7">
        <f>MIN(D169,40)*C169</f>
        <v>703.19999999999993</v>
      </c>
      <c r="G169" s="9">
        <f>E169 * C169 * 1.5</f>
        <v>105.47999999999999</v>
      </c>
      <c r="H169" s="7">
        <f>F169+G169</f>
        <v>808.68</v>
      </c>
      <c r="I169" s="7">
        <f>MAX(0,
IF(H169&lt;=800,
H169*0.2,
800*0.2+(H169-800)*0.4
)-70
)</f>
        <v>93.47199999999998</v>
      </c>
      <c r="J169" s="7">
        <f>IF(H169&lt;=231,
H169*0.005,
IF(H169&lt;=693,
231*0.005+(H169-231)*0.02,
231*0.005+462*0.02+(H169-693)*0.045
))</f>
        <v>15.600599999999996</v>
      </c>
      <c r="K169" s="7">
        <f>H169*0.04</f>
        <v>32.347200000000001</v>
      </c>
      <c r="L169" s="7">
        <f>I169+J169+K169</f>
        <v>141.41979999999998</v>
      </c>
      <c r="M169" s="7">
        <f>H169-L169</f>
        <v>667.26019999999994</v>
      </c>
    </row>
    <row r="170" spans="1:13" x14ac:dyDescent="0.3">
      <c r="A170" t="s">
        <v>82</v>
      </c>
      <c r="B170" t="s">
        <v>59</v>
      </c>
      <c r="C170" s="7">
        <v>22.31</v>
      </c>
      <c r="D170" s="8">
        <v>36.299999999999997</v>
      </c>
      <c r="E170" s="8">
        <f>MAX(0, D170-40)</f>
        <v>0</v>
      </c>
      <c r="F170" s="7">
        <f>MIN(D170,40)*C170</f>
        <v>809.85299999999984</v>
      </c>
      <c r="G170" s="9">
        <f>E170 * C170 * 1.5</f>
        <v>0</v>
      </c>
      <c r="H170" s="7">
        <f>F170+G170</f>
        <v>809.85299999999984</v>
      </c>
      <c r="I170" s="7">
        <f>MAX(0,
IF(H170&lt;=800,
H170*0.2,
800*0.2+(H170-800)*0.4
)-70
)</f>
        <v>93.941199999999924</v>
      </c>
      <c r="J170" s="7">
        <f>IF(H170&lt;=231,
H170*0.005,
IF(H170&lt;=693,
231*0.005+(H170-231)*0.02,
231*0.005+462*0.02+(H170-693)*0.045
))</f>
        <v>15.653384999999993</v>
      </c>
      <c r="K170" s="7">
        <f>H170*0.04</f>
        <v>32.394119999999994</v>
      </c>
      <c r="L170" s="7">
        <f>I170+J170+K170</f>
        <v>141.9887049999999</v>
      </c>
      <c r="M170" s="7">
        <f>H170-L170</f>
        <v>667.86429499999997</v>
      </c>
    </row>
    <row r="171" spans="1:13" x14ac:dyDescent="0.3">
      <c r="A171" t="s">
        <v>307</v>
      </c>
      <c r="B171" t="s">
        <v>61</v>
      </c>
      <c r="C171" s="7">
        <v>21.25</v>
      </c>
      <c r="D171" s="8">
        <v>38.200000000000003</v>
      </c>
      <c r="E171" s="8">
        <f>MAX(0, D171-40)</f>
        <v>0</v>
      </c>
      <c r="F171" s="7">
        <f>MIN(D171,40)*C171</f>
        <v>811.75000000000011</v>
      </c>
      <c r="G171" s="9">
        <f>E171 * C171 * 1.5</f>
        <v>0</v>
      </c>
      <c r="H171" s="7">
        <f>F171+G171</f>
        <v>811.75000000000011</v>
      </c>
      <c r="I171" s="7">
        <f>MAX(0,
IF(H171&lt;=800,
H171*0.2,
800*0.2+(H171-800)*0.4
)-70
)</f>
        <v>94.700000000000045</v>
      </c>
      <c r="J171" s="7">
        <f>IF(H171&lt;=231,
H171*0.005,
IF(H171&lt;=693,
231*0.005+(H171-231)*0.02,
231*0.005+462*0.02+(H171-693)*0.045
))</f>
        <v>15.738750000000005</v>
      </c>
      <c r="K171" s="7">
        <f>H171*0.04</f>
        <v>32.470000000000006</v>
      </c>
      <c r="L171" s="7">
        <f>I171+J171+K171</f>
        <v>142.90875000000005</v>
      </c>
      <c r="M171" s="7">
        <f>H171-L171</f>
        <v>668.84125000000006</v>
      </c>
    </row>
    <row r="172" spans="1:13" x14ac:dyDescent="0.3">
      <c r="A172" t="s">
        <v>56</v>
      </c>
      <c r="B172" t="s">
        <v>57</v>
      </c>
      <c r="C172" s="7">
        <v>21.92</v>
      </c>
      <c r="D172" s="8">
        <v>37.1</v>
      </c>
      <c r="E172" s="8">
        <f>MAX(0, D172-40)</f>
        <v>0</v>
      </c>
      <c r="F172" s="7">
        <f>MIN(D172,40)*C172</f>
        <v>813.23200000000008</v>
      </c>
      <c r="G172" s="9">
        <f>E172 * C172 * 1.5</f>
        <v>0</v>
      </c>
      <c r="H172" s="7">
        <f>F172+G172</f>
        <v>813.23200000000008</v>
      </c>
      <c r="I172" s="7">
        <f>MAX(0,
IF(H172&lt;=800,
H172*0.2,
800*0.2+(H172-800)*0.4
)-70
)</f>
        <v>95.292800000000028</v>
      </c>
      <c r="J172" s="7">
        <f>IF(H172&lt;=231,
H172*0.005,
IF(H172&lt;=693,
231*0.005+(H172-231)*0.02,
231*0.005+462*0.02+(H172-693)*0.045
))</f>
        <v>15.805440000000004</v>
      </c>
      <c r="K172" s="7">
        <f>H172*0.04</f>
        <v>32.529280000000007</v>
      </c>
      <c r="L172" s="7">
        <f>I172+J172+K172</f>
        <v>143.62752000000003</v>
      </c>
      <c r="M172" s="7">
        <f>H172-L172</f>
        <v>669.60448000000008</v>
      </c>
    </row>
    <row r="173" spans="1:13" x14ac:dyDescent="0.3">
      <c r="A173" t="s">
        <v>227</v>
      </c>
      <c r="B173" t="s">
        <v>49</v>
      </c>
      <c r="C173" s="7">
        <v>17.77</v>
      </c>
      <c r="D173" s="8">
        <v>43.9</v>
      </c>
      <c r="E173" s="8">
        <f>MAX(0, D173-40)</f>
        <v>3.8999999999999986</v>
      </c>
      <c r="F173" s="7">
        <f>MIN(D173,40)*C173</f>
        <v>710.8</v>
      </c>
      <c r="G173" s="9">
        <f>E173 * C173 * 1.5</f>
        <v>103.95449999999995</v>
      </c>
      <c r="H173" s="7">
        <f>F173+G173</f>
        <v>814.75449999999989</v>
      </c>
      <c r="I173" s="7">
        <f>MAX(0,
IF(H173&lt;=800,
H173*0.2,
800*0.2+(H173-800)*0.4
)-70
)</f>
        <v>95.901799999999952</v>
      </c>
      <c r="J173" s="7">
        <f>IF(H173&lt;=231,
H173*0.005,
IF(H173&lt;=693,
231*0.005+(H173-231)*0.02,
231*0.005+462*0.02+(H173-693)*0.045
))</f>
        <v>15.873952499999994</v>
      </c>
      <c r="K173" s="7">
        <f>H173*0.04</f>
        <v>32.590179999999997</v>
      </c>
      <c r="L173" s="7">
        <f>I173+J173+K173</f>
        <v>144.36593249999996</v>
      </c>
      <c r="M173" s="7">
        <f>H173-L173</f>
        <v>670.38856749999991</v>
      </c>
    </row>
    <row r="174" spans="1:13" x14ac:dyDescent="0.3">
      <c r="A174" t="s">
        <v>132</v>
      </c>
      <c r="B174" t="s">
        <v>125</v>
      </c>
      <c r="C174" s="7">
        <v>21.7</v>
      </c>
      <c r="D174" s="8">
        <v>37.6</v>
      </c>
      <c r="E174" s="8">
        <f>MAX(0, D174-40)</f>
        <v>0</v>
      </c>
      <c r="F174" s="7">
        <f>MIN(D174,40)*C174</f>
        <v>815.92</v>
      </c>
      <c r="G174" s="9">
        <f>E174 * C174 * 1.5</f>
        <v>0</v>
      </c>
      <c r="H174" s="7">
        <f>F174+G174</f>
        <v>815.92</v>
      </c>
      <c r="I174" s="7">
        <f>MAX(0,
IF(H174&lt;=800,
H174*0.2,
800*0.2+(H174-800)*0.4
)-70
)</f>
        <v>96.367999999999995</v>
      </c>
      <c r="J174" s="7">
        <f>IF(H174&lt;=231,
H174*0.005,
IF(H174&lt;=693,
231*0.005+(H174-231)*0.02,
231*0.005+462*0.02+(H174-693)*0.045
))</f>
        <v>15.926399999999997</v>
      </c>
      <c r="K174" s="7">
        <f>H174*0.04</f>
        <v>32.636800000000001</v>
      </c>
      <c r="L174" s="7">
        <f>I174+J174+K174</f>
        <v>144.93119999999999</v>
      </c>
      <c r="M174" s="7">
        <f>H174-L174</f>
        <v>670.98879999999997</v>
      </c>
    </row>
    <row r="175" spans="1:13" x14ac:dyDescent="0.3">
      <c r="A175" t="s">
        <v>274</v>
      </c>
      <c r="B175" t="s">
        <v>99</v>
      </c>
      <c r="C175" s="7">
        <v>20.07</v>
      </c>
      <c r="D175" s="8">
        <v>40.5</v>
      </c>
      <c r="E175" s="8">
        <f>MAX(0, D175-40)</f>
        <v>0.5</v>
      </c>
      <c r="F175" s="7">
        <f>MIN(D175,40)*C175</f>
        <v>802.8</v>
      </c>
      <c r="G175" s="9">
        <f>E175 * C175 * 1.5</f>
        <v>15.0525</v>
      </c>
      <c r="H175" s="7">
        <f>F175+G175</f>
        <v>817.85249999999996</v>
      </c>
      <c r="I175" s="7">
        <f>MAX(0,
IF(H175&lt;=800,
H175*0.2,
800*0.2+(H175-800)*0.4
)-70
)</f>
        <v>97.140999999999991</v>
      </c>
      <c r="J175" s="7">
        <f>IF(H175&lt;=231,
H175*0.005,
IF(H175&lt;=693,
231*0.005+(H175-231)*0.02,
231*0.005+462*0.02+(H175-693)*0.045
))</f>
        <v>16.013362499999999</v>
      </c>
      <c r="K175" s="7">
        <f>H175*0.04</f>
        <v>32.714100000000002</v>
      </c>
      <c r="L175" s="7">
        <f>I175+J175+K175</f>
        <v>145.86846249999999</v>
      </c>
      <c r="M175" s="7">
        <f>H175-L175</f>
        <v>671.9840375</v>
      </c>
    </row>
    <row r="176" spans="1:13" x14ac:dyDescent="0.3">
      <c r="A176" t="s">
        <v>217</v>
      </c>
      <c r="B176" t="s">
        <v>32</v>
      </c>
      <c r="C176" s="7">
        <v>22.25</v>
      </c>
      <c r="D176" s="8">
        <v>36.799999999999997</v>
      </c>
      <c r="E176" s="8">
        <f>MAX(0, D176-40)</f>
        <v>0</v>
      </c>
      <c r="F176" s="7">
        <f>MIN(D176,40)*C176</f>
        <v>818.8</v>
      </c>
      <c r="G176" s="9">
        <f>E176 * C176 * 1.5</f>
        <v>0</v>
      </c>
      <c r="H176" s="7">
        <f>F176+G176</f>
        <v>818.8</v>
      </c>
      <c r="I176" s="7">
        <f>MAX(0,
IF(H176&lt;=800,
H176*0.2,
800*0.2+(H176-800)*0.4
)-70
)</f>
        <v>97.519999999999982</v>
      </c>
      <c r="J176" s="7">
        <f>IF(H176&lt;=231,
H176*0.005,
IF(H176&lt;=693,
231*0.005+(H176-231)*0.02,
231*0.005+462*0.02+(H176-693)*0.045
))</f>
        <v>16.055999999999997</v>
      </c>
      <c r="K176" s="7">
        <f>H176*0.04</f>
        <v>32.751999999999995</v>
      </c>
      <c r="L176" s="7">
        <f>I176+J176+K176</f>
        <v>146.32799999999997</v>
      </c>
      <c r="M176" s="7">
        <f>H176-L176</f>
        <v>672.47199999999998</v>
      </c>
    </row>
    <row r="177" spans="1:13" x14ac:dyDescent="0.3">
      <c r="A177" t="s">
        <v>468</v>
      </c>
      <c r="B177" t="s">
        <v>21</v>
      </c>
      <c r="C177" s="7">
        <v>18.43</v>
      </c>
      <c r="D177" s="8">
        <v>43</v>
      </c>
      <c r="E177" s="8">
        <f>MAX(0, D177-40)</f>
        <v>3</v>
      </c>
      <c r="F177" s="7">
        <f>MIN(D177,40)*C177</f>
        <v>737.2</v>
      </c>
      <c r="G177" s="9">
        <f>E177 * C177 * 1.5</f>
        <v>82.935000000000002</v>
      </c>
      <c r="H177" s="7">
        <f>F177+G177</f>
        <v>820.13499999999999</v>
      </c>
      <c r="I177" s="7">
        <f>MAX(0,
IF(H177&lt;=800,
H177*0.2,
800*0.2+(H177-800)*0.4
)-70
)</f>
        <v>98.054000000000002</v>
      </c>
      <c r="J177" s="7">
        <f>IF(H177&lt;=231,
H177*0.005,
IF(H177&lt;=693,
231*0.005+(H177-231)*0.02,
231*0.005+462*0.02+(H177-693)*0.045
))</f>
        <v>16.116074999999999</v>
      </c>
      <c r="K177" s="7">
        <f>H177*0.04</f>
        <v>32.805399999999999</v>
      </c>
      <c r="L177" s="7">
        <f>I177+J177+K177</f>
        <v>146.97547499999999</v>
      </c>
      <c r="M177" s="7">
        <f>H177-L177</f>
        <v>673.15952500000003</v>
      </c>
    </row>
    <row r="178" spans="1:13" x14ac:dyDescent="0.3">
      <c r="A178" t="s">
        <v>180</v>
      </c>
      <c r="B178" t="s">
        <v>19</v>
      </c>
      <c r="C178" s="7">
        <v>21</v>
      </c>
      <c r="D178" s="8">
        <v>39.1</v>
      </c>
      <c r="E178" s="8">
        <f>MAX(0, D178-40)</f>
        <v>0</v>
      </c>
      <c r="F178" s="7">
        <f>MIN(D178,40)*C178</f>
        <v>821.1</v>
      </c>
      <c r="G178" s="9">
        <f>E178 * C178 * 1.5</f>
        <v>0</v>
      </c>
      <c r="H178" s="7">
        <f>F178+G178</f>
        <v>821.1</v>
      </c>
      <c r="I178" s="7">
        <f>MAX(0,
IF(H178&lt;=800,
H178*0.2,
800*0.2+(H178-800)*0.4
)-70
)</f>
        <v>98.44</v>
      </c>
      <c r="J178" s="7">
        <f>IF(H178&lt;=231,
H178*0.005,
IF(H178&lt;=693,
231*0.005+(H178-231)*0.02,
231*0.005+462*0.02+(H178-693)*0.045
))</f>
        <v>16.159500000000001</v>
      </c>
      <c r="K178" s="7">
        <f>H178*0.04</f>
        <v>32.844000000000001</v>
      </c>
      <c r="L178" s="7">
        <f>I178+J178+K178</f>
        <v>147.4435</v>
      </c>
      <c r="M178" s="7">
        <f>H178-L178</f>
        <v>673.65650000000005</v>
      </c>
    </row>
    <row r="179" spans="1:13" x14ac:dyDescent="0.3">
      <c r="A179" t="s">
        <v>165</v>
      </c>
      <c r="B179" t="s">
        <v>66</v>
      </c>
      <c r="C179" s="7">
        <v>19.87</v>
      </c>
      <c r="D179" s="8">
        <v>40.9</v>
      </c>
      <c r="E179" s="8">
        <f>MAX(0, D179-40)</f>
        <v>0.89999999999999858</v>
      </c>
      <c r="F179" s="7">
        <f>MIN(D179,40)*C179</f>
        <v>794.80000000000007</v>
      </c>
      <c r="G179" s="9">
        <f>E179 * C179 * 1.5</f>
        <v>26.824499999999961</v>
      </c>
      <c r="H179" s="7">
        <f>F179+G179</f>
        <v>821.62450000000001</v>
      </c>
      <c r="I179" s="7">
        <f>MAX(0,
IF(H179&lt;=800,
H179*0.2,
800*0.2+(H179-800)*0.4
)-70
)</f>
        <v>98.649799999999999</v>
      </c>
      <c r="J179" s="7">
        <f>IF(H179&lt;=231,
H179*0.005,
IF(H179&lt;=693,
231*0.005+(H179-231)*0.02,
231*0.005+462*0.02+(H179-693)*0.045
))</f>
        <v>16.1831025</v>
      </c>
      <c r="K179" s="7">
        <f>H179*0.04</f>
        <v>32.864980000000003</v>
      </c>
      <c r="L179" s="7">
        <f>I179+J179+K179</f>
        <v>147.69788249999999</v>
      </c>
      <c r="M179" s="7">
        <f>H179-L179</f>
        <v>673.92661750000002</v>
      </c>
    </row>
    <row r="180" spans="1:13" x14ac:dyDescent="0.3">
      <c r="A180" t="s">
        <v>475</v>
      </c>
      <c r="B180" t="s">
        <v>209</v>
      </c>
      <c r="C180" s="7">
        <v>20.96</v>
      </c>
      <c r="D180" s="8">
        <v>39.200000000000003</v>
      </c>
      <c r="E180" s="8">
        <f>MAX(0, D180-40)</f>
        <v>0</v>
      </c>
      <c r="F180" s="7">
        <f>MIN(D180,40)*C180</f>
        <v>821.63200000000006</v>
      </c>
      <c r="G180" s="9">
        <f>E180 * C180 * 1.5</f>
        <v>0</v>
      </c>
      <c r="H180" s="7">
        <f>F180+G180</f>
        <v>821.63200000000006</v>
      </c>
      <c r="I180" s="7">
        <f>MAX(0,
IF(H180&lt;=800,
H180*0.2,
800*0.2+(H180-800)*0.4
)-70
)</f>
        <v>98.652800000000013</v>
      </c>
      <c r="J180" s="7">
        <f>IF(H180&lt;=231,
H180*0.005,
IF(H180&lt;=693,
231*0.005+(H180-231)*0.02,
231*0.005+462*0.02+(H180-693)*0.045
))</f>
        <v>16.183440000000001</v>
      </c>
      <c r="K180" s="7">
        <f>H180*0.04</f>
        <v>32.865280000000006</v>
      </c>
      <c r="L180" s="7">
        <f>I180+J180+K180</f>
        <v>147.70152000000002</v>
      </c>
      <c r="M180" s="7">
        <f>H180-L180</f>
        <v>673.93047999999999</v>
      </c>
    </row>
    <row r="181" spans="1:13" x14ac:dyDescent="0.3">
      <c r="A181" t="s">
        <v>324</v>
      </c>
      <c r="B181" t="s">
        <v>37</v>
      </c>
      <c r="C181" s="7">
        <v>22.72</v>
      </c>
      <c r="D181" s="8">
        <v>36.200000000000003</v>
      </c>
      <c r="E181" s="8">
        <f>MAX(0, D181-40)</f>
        <v>0</v>
      </c>
      <c r="F181" s="7">
        <f>MIN(D181,40)*C181</f>
        <v>822.46400000000006</v>
      </c>
      <c r="G181" s="9">
        <f>E181 * C181 * 1.5</f>
        <v>0</v>
      </c>
      <c r="H181" s="7">
        <f>F181+G181</f>
        <v>822.46400000000006</v>
      </c>
      <c r="I181" s="7">
        <f>MAX(0,
IF(H181&lt;=800,
H181*0.2,
800*0.2+(H181-800)*0.4
)-70
)</f>
        <v>98.985600000000034</v>
      </c>
      <c r="J181" s="7">
        <f>IF(H181&lt;=231,
H181*0.005,
IF(H181&lt;=693,
231*0.005+(H181-231)*0.02,
231*0.005+462*0.02+(H181-693)*0.045
))</f>
        <v>16.220880000000001</v>
      </c>
      <c r="K181" s="7">
        <f>H181*0.04</f>
        <v>32.898560000000003</v>
      </c>
      <c r="L181" s="7">
        <f>I181+J181+K181</f>
        <v>148.10504000000003</v>
      </c>
      <c r="M181" s="7">
        <f>H181-L181</f>
        <v>674.35896000000002</v>
      </c>
    </row>
    <row r="182" spans="1:13" x14ac:dyDescent="0.3">
      <c r="A182" t="s">
        <v>20</v>
      </c>
      <c r="B182" t="s">
        <v>21</v>
      </c>
      <c r="C182" s="7">
        <v>18.73</v>
      </c>
      <c r="D182" s="8">
        <v>42.7</v>
      </c>
      <c r="E182" s="8">
        <f>MAX(0, D182-40)</f>
        <v>2.7000000000000028</v>
      </c>
      <c r="F182" s="7">
        <f>MIN(D182,40)*C182</f>
        <v>749.2</v>
      </c>
      <c r="G182" s="9">
        <f>E182 * C182 * 1.5</f>
        <v>75.856500000000082</v>
      </c>
      <c r="H182" s="7">
        <f>F182+G182</f>
        <v>825.05650000000014</v>
      </c>
      <c r="I182" s="7">
        <f>MAX(0,
IF(H182&lt;=800,
H182*0.2,
800*0.2+(H182-800)*0.4
)-70
)</f>
        <v>100.02260000000007</v>
      </c>
      <c r="J182" s="7">
        <f>IF(H182&lt;=231,
H182*0.005,
IF(H182&lt;=693,
231*0.005+(H182-231)*0.02,
231*0.005+462*0.02+(H182-693)*0.045
))</f>
        <v>16.337542500000005</v>
      </c>
      <c r="K182" s="7">
        <f>H182*0.04</f>
        <v>33.002260000000007</v>
      </c>
      <c r="L182" s="7">
        <f>I182+J182+K182</f>
        <v>149.36240250000009</v>
      </c>
      <c r="M182" s="7">
        <f>H182-L182</f>
        <v>675.6940975</v>
      </c>
    </row>
    <row r="183" spans="1:13" x14ac:dyDescent="0.3">
      <c r="A183" t="s">
        <v>182</v>
      </c>
      <c r="B183" t="s">
        <v>23</v>
      </c>
      <c r="C183" s="7">
        <v>20.350000000000001</v>
      </c>
      <c r="D183" s="8">
        <v>40.4</v>
      </c>
      <c r="E183" s="8">
        <f>MAX(0, D183-40)</f>
        <v>0.39999999999999858</v>
      </c>
      <c r="F183" s="7">
        <f>MIN(D183,40)*C183</f>
        <v>814</v>
      </c>
      <c r="G183" s="9">
        <f>E183 * C183 * 1.5</f>
        <v>12.209999999999958</v>
      </c>
      <c r="H183" s="7">
        <f>F183+G183</f>
        <v>826.20999999999992</v>
      </c>
      <c r="I183" s="7">
        <f>MAX(0,
IF(H183&lt;=800,
H183*0.2,
800*0.2+(H183-800)*0.4
)-70
)</f>
        <v>100.48399999999998</v>
      </c>
      <c r="J183" s="7">
        <f>IF(H183&lt;=231,
H183*0.005,
IF(H183&lt;=693,
231*0.005+(H183-231)*0.02,
231*0.005+462*0.02+(H183-693)*0.045
))</f>
        <v>16.389449999999997</v>
      </c>
      <c r="K183" s="7">
        <f>H183*0.04</f>
        <v>33.048400000000001</v>
      </c>
      <c r="L183" s="7">
        <f>I183+J183+K183</f>
        <v>149.92184999999998</v>
      </c>
      <c r="M183" s="7">
        <f>H183-L183</f>
        <v>676.28814999999997</v>
      </c>
    </row>
    <row r="184" spans="1:13" x14ac:dyDescent="0.3">
      <c r="A184" t="s">
        <v>40</v>
      </c>
      <c r="B184" t="s">
        <v>15</v>
      </c>
      <c r="C184" s="7">
        <v>20.93</v>
      </c>
      <c r="D184" s="8">
        <v>39.5</v>
      </c>
      <c r="E184" s="8">
        <f>MAX(0, D184-40)</f>
        <v>0</v>
      </c>
      <c r="F184" s="7">
        <f>MIN(D184,40)*C184</f>
        <v>826.73500000000001</v>
      </c>
      <c r="G184" s="9">
        <f>E184 * C184 * 1.5</f>
        <v>0</v>
      </c>
      <c r="H184" s="7">
        <f>F184+G184</f>
        <v>826.73500000000001</v>
      </c>
      <c r="I184" s="7">
        <f>MAX(0,
IF(H184&lt;=800,
H184*0.2,
800*0.2+(H184-800)*0.4
)-70
)</f>
        <v>100.69400000000002</v>
      </c>
      <c r="J184" s="7">
        <f>IF(H184&lt;=231,
H184*0.005,
IF(H184&lt;=693,
231*0.005+(H184-231)*0.02,
231*0.005+462*0.02+(H184-693)*0.045
))</f>
        <v>16.413074999999999</v>
      </c>
      <c r="K184" s="7">
        <f>H184*0.04</f>
        <v>33.069400000000002</v>
      </c>
      <c r="L184" s="7">
        <f>I184+J184+K184</f>
        <v>150.17647500000001</v>
      </c>
      <c r="M184" s="7">
        <f>H184-L184</f>
        <v>676.55852500000003</v>
      </c>
    </row>
    <row r="185" spans="1:13" x14ac:dyDescent="0.3">
      <c r="A185" t="s">
        <v>366</v>
      </c>
      <c r="B185" t="s">
        <v>17</v>
      </c>
      <c r="C185" s="7">
        <v>20.41</v>
      </c>
      <c r="D185" s="8">
        <v>40.4</v>
      </c>
      <c r="E185" s="8">
        <f>MAX(0, D185-40)</f>
        <v>0.39999999999999858</v>
      </c>
      <c r="F185" s="7">
        <f>MIN(D185,40)*C185</f>
        <v>816.4</v>
      </c>
      <c r="G185" s="9">
        <f>E185 * C185 * 1.5</f>
        <v>12.245999999999956</v>
      </c>
      <c r="H185" s="7">
        <f>F185+G185</f>
        <v>828.64599999999996</v>
      </c>
      <c r="I185" s="7">
        <f>MAX(0,
IF(H185&lt;=800,
H185*0.2,
800*0.2+(H185-800)*0.4
)-70
)</f>
        <v>101.45839999999998</v>
      </c>
      <c r="J185" s="7">
        <f>IF(H185&lt;=231,
H185*0.005,
IF(H185&lt;=693,
231*0.005+(H185-231)*0.02,
231*0.005+462*0.02+(H185-693)*0.045
))</f>
        <v>16.499069999999996</v>
      </c>
      <c r="K185" s="7">
        <f>H185*0.04</f>
        <v>33.14584</v>
      </c>
      <c r="L185" s="7">
        <f>I185+J185+K185</f>
        <v>151.10330999999996</v>
      </c>
      <c r="M185" s="7">
        <f>H185-L185</f>
        <v>677.54268999999999</v>
      </c>
    </row>
    <row r="186" spans="1:13" x14ac:dyDescent="0.3">
      <c r="A186" t="s">
        <v>100</v>
      </c>
      <c r="B186" t="s">
        <v>101</v>
      </c>
      <c r="C186" s="7">
        <v>20.65</v>
      </c>
      <c r="D186" s="8">
        <v>40.1</v>
      </c>
      <c r="E186" s="8">
        <f>MAX(0, D186-40)</f>
        <v>0.10000000000000142</v>
      </c>
      <c r="F186" s="7">
        <f>MIN(D186,40)*C186</f>
        <v>826</v>
      </c>
      <c r="G186" s="9">
        <f>E186 * C186 * 1.5</f>
        <v>3.0975000000000437</v>
      </c>
      <c r="H186" s="7">
        <f>F186+G186</f>
        <v>829.09750000000008</v>
      </c>
      <c r="I186" s="7">
        <f>MAX(0,
IF(H186&lt;=800,
H186*0.2,
800*0.2+(H186-800)*0.4
)-70
)</f>
        <v>101.63900000000004</v>
      </c>
      <c r="J186" s="7">
        <f>IF(H186&lt;=231,
H186*0.005,
IF(H186&lt;=693,
231*0.005+(H186-231)*0.02,
231*0.005+462*0.02+(H186-693)*0.045
))</f>
        <v>16.519387500000004</v>
      </c>
      <c r="K186" s="7">
        <f>H186*0.04</f>
        <v>33.163900000000005</v>
      </c>
      <c r="L186" s="7">
        <f>I186+J186+K186</f>
        <v>151.32228750000004</v>
      </c>
      <c r="M186" s="7">
        <f>H186-L186</f>
        <v>677.77521250000007</v>
      </c>
    </row>
    <row r="187" spans="1:13" x14ac:dyDescent="0.3">
      <c r="A187" t="s">
        <v>257</v>
      </c>
      <c r="B187" t="s">
        <v>17</v>
      </c>
      <c r="C187" s="7">
        <v>21.19</v>
      </c>
      <c r="D187" s="8">
        <v>39.200000000000003</v>
      </c>
      <c r="E187" s="8">
        <f>MAX(0, D187-40)</f>
        <v>0</v>
      </c>
      <c r="F187" s="7">
        <f>MIN(D187,40)*C187</f>
        <v>830.64800000000014</v>
      </c>
      <c r="G187" s="9">
        <f>E187 * C187 * 1.5</f>
        <v>0</v>
      </c>
      <c r="H187" s="7">
        <f>F187+G187</f>
        <v>830.64800000000014</v>
      </c>
      <c r="I187" s="7">
        <f>MAX(0,
IF(H187&lt;=800,
H187*0.2,
800*0.2+(H187-800)*0.4
)-70
)</f>
        <v>102.25920000000005</v>
      </c>
      <c r="J187" s="7">
        <f>IF(H187&lt;=231,
H187*0.005,
IF(H187&lt;=693,
231*0.005+(H187-231)*0.02,
231*0.005+462*0.02+(H187-693)*0.045
))</f>
        <v>16.589160000000007</v>
      </c>
      <c r="K187" s="7">
        <f>H187*0.04</f>
        <v>33.225920000000009</v>
      </c>
      <c r="L187" s="7">
        <f>I187+J187+K187</f>
        <v>152.07428000000007</v>
      </c>
      <c r="M187" s="7">
        <f>H187-L187</f>
        <v>678.57372000000009</v>
      </c>
    </row>
    <row r="188" spans="1:13" x14ac:dyDescent="0.3">
      <c r="A188" t="s">
        <v>138</v>
      </c>
      <c r="B188" t="s">
        <v>7</v>
      </c>
      <c r="C188" s="7">
        <v>17.72</v>
      </c>
      <c r="D188" s="8">
        <v>44.6</v>
      </c>
      <c r="E188" s="8">
        <f>MAX(0, D188-40)</f>
        <v>4.6000000000000014</v>
      </c>
      <c r="F188" s="7">
        <f>MIN(D188,40)*C188</f>
        <v>708.8</v>
      </c>
      <c r="G188" s="9">
        <f>E188 * C188 * 1.5</f>
        <v>122.26800000000003</v>
      </c>
      <c r="H188" s="7">
        <f>F188+G188</f>
        <v>831.06799999999998</v>
      </c>
      <c r="I188" s="7">
        <f>MAX(0,
IF(H188&lt;=800,
H188*0.2,
800*0.2+(H188-800)*0.4
)-70
)</f>
        <v>102.4272</v>
      </c>
      <c r="J188" s="7">
        <f>IF(H188&lt;=231,
H188*0.005,
IF(H188&lt;=693,
231*0.005+(H188-231)*0.02,
231*0.005+462*0.02+(H188-693)*0.045
))</f>
        <v>16.608059999999998</v>
      </c>
      <c r="K188" s="7">
        <f>H188*0.04</f>
        <v>33.242719999999998</v>
      </c>
      <c r="L188" s="7">
        <f>I188+J188+K188</f>
        <v>152.27797999999999</v>
      </c>
      <c r="M188" s="7">
        <f>H188-L188</f>
        <v>678.79002000000003</v>
      </c>
    </row>
    <row r="189" spans="1:13" x14ac:dyDescent="0.3">
      <c r="A189" t="s">
        <v>208</v>
      </c>
      <c r="B189" t="s">
        <v>209</v>
      </c>
      <c r="C189" s="7">
        <v>20.99</v>
      </c>
      <c r="D189" s="8">
        <v>39.6</v>
      </c>
      <c r="E189" s="8">
        <f>MAX(0, D189-40)</f>
        <v>0</v>
      </c>
      <c r="F189" s="7">
        <f>MIN(D189,40)*C189</f>
        <v>831.20399999999995</v>
      </c>
      <c r="G189" s="9">
        <f>E189 * C189 * 1.5</f>
        <v>0</v>
      </c>
      <c r="H189" s="7">
        <f>F189+G189</f>
        <v>831.20399999999995</v>
      </c>
      <c r="I189" s="7">
        <f>MAX(0,
IF(H189&lt;=800,
H189*0.2,
800*0.2+(H189-800)*0.4
)-70
)</f>
        <v>102.48159999999999</v>
      </c>
      <c r="J189" s="7">
        <f>IF(H189&lt;=231,
H189*0.005,
IF(H189&lt;=693,
231*0.005+(H189-231)*0.02,
231*0.005+462*0.02+(H189-693)*0.045
))</f>
        <v>16.614179999999998</v>
      </c>
      <c r="K189" s="7">
        <f>H189*0.04</f>
        <v>33.248159999999999</v>
      </c>
      <c r="L189" s="7">
        <f>I189+J189+K189</f>
        <v>152.34393999999998</v>
      </c>
      <c r="M189" s="7">
        <f>H189-L189</f>
        <v>678.86005999999998</v>
      </c>
    </row>
    <row r="190" spans="1:13" x14ac:dyDescent="0.3">
      <c r="A190" t="s">
        <v>398</v>
      </c>
      <c r="B190" t="s">
        <v>123</v>
      </c>
      <c r="C190" s="7">
        <v>18.940000000000001</v>
      </c>
      <c r="D190" s="8">
        <v>42.6</v>
      </c>
      <c r="E190" s="8">
        <f>MAX(0, D190-40)</f>
        <v>2.6000000000000014</v>
      </c>
      <c r="F190" s="7">
        <f>MIN(D190,40)*C190</f>
        <v>757.6</v>
      </c>
      <c r="G190" s="9">
        <f>E190 * C190 * 1.5</f>
        <v>73.866000000000042</v>
      </c>
      <c r="H190" s="7">
        <f>F190+G190</f>
        <v>831.46600000000012</v>
      </c>
      <c r="I190" s="7">
        <f>MAX(0,
IF(H190&lt;=800,
H190*0.2,
800*0.2+(H190-800)*0.4
)-70
)</f>
        <v>102.58640000000005</v>
      </c>
      <c r="J190" s="7">
        <f>IF(H190&lt;=231,
H190*0.005,
IF(H190&lt;=693,
231*0.005+(H190-231)*0.02,
231*0.005+462*0.02+(H190-693)*0.045
))</f>
        <v>16.625970000000006</v>
      </c>
      <c r="K190" s="7">
        <f>H190*0.04</f>
        <v>33.258640000000007</v>
      </c>
      <c r="L190" s="7">
        <f>I190+J190+K190</f>
        <v>152.47101000000006</v>
      </c>
      <c r="M190" s="7">
        <f>H190-L190</f>
        <v>678.99499000000003</v>
      </c>
    </row>
    <row r="191" spans="1:13" x14ac:dyDescent="0.3">
      <c r="A191" t="s">
        <v>96</v>
      </c>
      <c r="B191" t="s">
        <v>17</v>
      </c>
      <c r="C191" s="7">
        <v>22</v>
      </c>
      <c r="D191" s="8">
        <v>37.799999999999997</v>
      </c>
      <c r="E191" s="8">
        <f>MAX(0, D191-40)</f>
        <v>0</v>
      </c>
      <c r="F191" s="7">
        <f>MIN(D191,40)*C191</f>
        <v>831.59999999999991</v>
      </c>
      <c r="G191" s="9">
        <f>E191 * C191 * 1.5</f>
        <v>0</v>
      </c>
      <c r="H191" s="7">
        <f>F191+G191</f>
        <v>831.59999999999991</v>
      </c>
      <c r="I191" s="7">
        <f>MAX(0,
IF(H191&lt;=800,
H191*0.2,
800*0.2+(H191-800)*0.4
)-70
)</f>
        <v>102.63999999999996</v>
      </c>
      <c r="J191" s="7">
        <f>IF(H191&lt;=231,
H191*0.005,
IF(H191&lt;=693,
231*0.005+(H191-231)*0.02,
231*0.005+462*0.02+(H191-693)*0.045
))</f>
        <v>16.631999999999994</v>
      </c>
      <c r="K191" s="7">
        <f>H191*0.04</f>
        <v>33.263999999999996</v>
      </c>
      <c r="L191" s="7">
        <f>I191+J191+K191</f>
        <v>152.53599999999994</v>
      </c>
      <c r="M191" s="7">
        <f>H191-L191</f>
        <v>679.06399999999996</v>
      </c>
    </row>
    <row r="192" spans="1:13" x14ac:dyDescent="0.3">
      <c r="A192" t="s">
        <v>427</v>
      </c>
      <c r="B192" t="s">
        <v>49</v>
      </c>
      <c r="C192" s="7">
        <v>19.34</v>
      </c>
      <c r="D192" s="8">
        <v>42</v>
      </c>
      <c r="E192" s="8">
        <f>MAX(0, D192-40)</f>
        <v>2</v>
      </c>
      <c r="F192" s="7">
        <f>MIN(D192,40)*C192</f>
        <v>773.6</v>
      </c>
      <c r="G192" s="9">
        <f>E192 * C192 * 1.5</f>
        <v>58.019999999999996</v>
      </c>
      <c r="H192" s="7">
        <f>F192+G192</f>
        <v>831.62</v>
      </c>
      <c r="I192" s="7">
        <f>MAX(0,
IF(H192&lt;=800,
H192*0.2,
800*0.2+(H192-800)*0.4
)-70
)</f>
        <v>102.648</v>
      </c>
      <c r="J192" s="7">
        <f>IF(H192&lt;=231,
H192*0.005,
IF(H192&lt;=693,
231*0.005+(H192-231)*0.02,
231*0.005+462*0.02+(H192-693)*0.045
))</f>
        <v>16.632899999999999</v>
      </c>
      <c r="K192" s="7">
        <f>H192*0.04</f>
        <v>33.264800000000001</v>
      </c>
      <c r="L192" s="7">
        <f>I192+J192+K192</f>
        <v>152.54570000000001</v>
      </c>
      <c r="M192" s="7">
        <f>H192-L192</f>
        <v>679.07429999999999</v>
      </c>
    </row>
    <row r="193" spans="1:13" x14ac:dyDescent="0.3">
      <c r="A193" t="s">
        <v>172</v>
      </c>
      <c r="B193" t="s">
        <v>27</v>
      </c>
      <c r="C193" s="7">
        <v>20.04</v>
      </c>
      <c r="D193" s="8">
        <v>41</v>
      </c>
      <c r="E193" s="8">
        <f>MAX(0, D193-40)</f>
        <v>1</v>
      </c>
      <c r="F193" s="7">
        <f>MIN(D193,40)*C193</f>
        <v>801.59999999999991</v>
      </c>
      <c r="G193" s="9">
        <f>E193 * C193 * 1.5</f>
        <v>30.06</v>
      </c>
      <c r="H193" s="7">
        <f>F193+G193</f>
        <v>831.65999999999985</v>
      </c>
      <c r="I193" s="7">
        <f>MAX(0,
IF(H193&lt;=800,
H193*0.2,
800*0.2+(H193-800)*0.4
)-70
)</f>
        <v>102.66399999999993</v>
      </c>
      <c r="J193" s="7">
        <f>IF(H193&lt;=231,
H193*0.005,
IF(H193&lt;=693,
231*0.005+(H193-231)*0.02,
231*0.005+462*0.02+(H193-693)*0.045
))</f>
        <v>16.634699999999992</v>
      </c>
      <c r="K193" s="7">
        <f>H193*0.04</f>
        <v>33.266399999999997</v>
      </c>
      <c r="L193" s="7">
        <f>I193+J193+K193</f>
        <v>152.56509999999992</v>
      </c>
      <c r="M193" s="7">
        <f>H193-L193</f>
        <v>679.09489999999994</v>
      </c>
    </row>
    <row r="194" spans="1:13" x14ac:dyDescent="0.3">
      <c r="A194" t="s">
        <v>93</v>
      </c>
      <c r="B194" t="s">
        <v>23</v>
      </c>
      <c r="C194" s="7">
        <v>18.8</v>
      </c>
      <c r="D194" s="8">
        <v>42.9</v>
      </c>
      <c r="E194" s="8">
        <f>MAX(0, D194-40)</f>
        <v>2.8999999999999986</v>
      </c>
      <c r="F194" s="7">
        <f>MIN(D194,40)*C194</f>
        <v>752</v>
      </c>
      <c r="G194" s="9">
        <f>E194 * C194 * 1.5</f>
        <v>81.779999999999959</v>
      </c>
      <c r="H194" s="7">
        <f>F194+G194</f>
        <v>833.78</v>
      </c>
      <c r="I194" s="7">
        <f>MAX(0,
IF(H194&lt;=800,
H194*0.2,
800*0.2+(H194-800)*0.4
)-70
)</f>
        <v>103.512</v>
      </c>
      <c r="J194" s="7">
        <f>IF(H194&lt;=231,
H194*0.005,
IF(H194&lt;=693,
231*0.005+(H194-231)*0.02,
231*0.005+462*0.02+(H194-693)*0.045
))</f>
        <v>16.7301</v>
      </c>
      <c r="K194" s="7">
        <f>H194*0.04</f>
        <v>33.351199999999999</v>
      </c>
      <c r="L194" s="7">
        <f>I194+J194+K194</f>
        <v>153.5933</v>
      </c>
      <c r="M194" s="7">
        <f>H194-L194</f>
        <v>680.18669999999997</v>
      </c>
    </row>
    <row r="195" spans="1:13" x14ac:dyDescent="0.3">
      <c r="A195" t="s">
        <v>351</v>
      </c>
      <c r="B195" t="s">
        <v>73</v>
      </c>
      <c r="C195" s="7">
        <v>19.34</v>
      </c>
      <c r="D195" s="8">
        <v>42.1</v>
      </c>
      <c r="E195" s="8">
        <f>MAX(0, D195-40)</f>
        <v>2.1000000000000014</v>
      </c>
      <c r="F195" s="7">
        <f>MIN(D195,40)*C195</f>
        <v>773.6</v>
      </c>
      <c r="G195" s="9">
        <f>E195 * C195 * 1.5</f>
        <v>60.921000000000035</v>
      </c>
      <c r="H195" s="7">
        <f>F195+G195</f>
        <v>834.52100000000007</v>
      </c>
      <c r="I195" s="7">
        <f>MAX(0,
IF(H195&lt;=800,
H195*0.2,
800*0.2+(H195-800)*0.4
)-70
)</f>
        <v>103.80840000000003</v>
      </c>
      <c r="J195" s="7">
        <f>IF(H195&lt;=231,
H195*0.005,
IF(H195&lt;=693,
231*0.005+(H195-231)*0.02,
231*0.005+462*0.02+(H195-693)*0.045
))</f>
        <v>16.763445000000004</v>
      </c>
      <c r="K195" s="7">
        <f>H195*0.04</f>
        <v>33.380840000000006</v>
      </c>
      <c r="L195" s="7">
        <f>I195+J195+K195</f>
        <v>153.95268500000003</v>
      </c>
      <c r="M195" s="7">
        <f>H195-L195</f>
        <v>680.56831499999998</v>
      </c>
    </row>
    <row r="196" spans="1:13" x14ac:dyDescent="0.3">
      <c r="A196" t="s">
        <v>189</v>
      </c>
      <c r="B196" t="s">
        <v>23</v>
      </c>
      <c r="C196" s="7">
        <v>18.84</v>
      </c>
      <c r="D196" s="8">
        <v>42.9</v>
      </c>
      <c r="E196" s="8">
        <f>MAX(0, D196-40)</f>
        <v>2.8999999999999986</v>
      </c>
      <c r="F196" s="7">
        <f>MIN(D196,40)*C196</f>
        <v>753.6</v>
      </c>
      <c r="G196" s="9">
        <f>E196 * C196 * 1.5</f>
        <v>81.953999999999965</v>
      </c>
      <c r="H196" s="7">
        <f>F196+G196</f>
        <v>835.55399999999997</v>
      </c>
      <c r="I196" s="7">
        <f>MAX(0,
IF(H196&lt;=800,
H196*0.2,
800*0.2+(H196-800)*0.4
)-70
)</f>
        <v>104.2216</v>
      </c>
      <c r="J196" s="7">
        <f>IF(H196&lt;=231,
H196*0.005,
IF(H196&lt;=693,
231*0.005+(H196-231)*0.02,
231*0.005+462*0.02+(H196-693)*0.045
))</f>
        <v>16.809929999999998</v>
      </c>
      <c r="K196" s="7">
        <f>H196*0.04</f>
        <v>33.422159999999998</v>
      </c>
      <c r="L196" s="7">
        <f>I196+J196+K196</f>
        <v>154.45368999999999</v>
      </c>
      <c r="M196" s="7">
        <f>H196-L196</f>
        <v>681.10031000000004</v>
      </c>
    </row>
    <row r="197" spans="1:13" x14ac:dyDescent="0.3">
      <c r="A197" t="s">
        <v>338</v>
      </c>
      <c r="B197" t="s">
        <v>37</v>
      </c>
      <c r="C197" s="7">
        <v>22.61</v>
      </c>
      <c r="D197" s="8">
        <v>37</v>
      </c>
      <c r="E197" s="8">
        <f>MAX(0, D197-40)</f>
        <v>0</v>
      </c>
      <c r="F197" s="7">
        <f>MIN(D197,40)*C197</f>
        <v>836.56999999999994</v>
      </c>
      <c r="G197" s="9">
        <f>E197 * C197 * 1.5</f>
        <v>0</v>
      </c>
      <c r="H197" s="7">
        <f>F197+G197</f>
        <v>836.56999999999994</v>
      </c>
      <c r="I197" s="7">
        <f>MAX(0,
IF(H197&lt;=800,
H197*0.2,
800*0.2+(H197-800)*0.4
)-70
)</f>
        <v>104.62799999999999</v>
      </c>
      <c r="J197" s="7">
        <f>IF(H197&lt;=231,
H197*0.005,
IF(H197&lt;=693,
231*0.005+(H197-231)*0.02,
231*0.005+462*0.02+(H197-693)*0.045
))</f>
        <v>16.855649999999997</v>
      </c>
      <c r="K197" s="7">
        <f>H197*0.04</f>
        <v>33.462800000000001</v>
      </c>
      <c r="L197" s="7">
        <f>I197+J197+K197</f>
        <v>154.94644999999997</v>
      </c>
      <c r="M197" s="7">
        <f>H197-L197</f>
        <v>681.62355000000002</v>
      </c>
    </row>
    <row r="198" spans="1:13" x14ac:dyDescent="0.3">
      <c r="A198" t="s">
        <v>193</v>
      </c>
      <c r="B198" t="s">
        <v>59</v>
      </c>
      <c r="C198" s="7">
        <v>22.49</v>
      </c>
      <c r="D198" s="8">
        <v>37.4</v>
      </c>
      <c r="E198" s="8">
        <f>MAX(0, D198-40)</f>
        <v>0</v>
      </c>
      <c r="F198" s="7">
        <f>MIN(D198,40)*C198</f>
        <v>841.12599999999986</v>
      </c>
      <c r="G198" s="9">
        <f>E198 * C198 * 1.5</f>
        <v>0</v>
      </c>
      <c r="H198" s="7">
        <f>F198+G198</f>
        <v>841.12599999999986</v>
      </c>
      <c r="I198" s="7">
        <f>MAX(0,
IF(H198&lt;=800,
H198*0.2,
800*0.2+(H198-800)*0.4
)-70
)</f>
        <v>106.45039999999995</v>
      </c>
      <c r="J198" s="7">
        <f>IF(H198&lt;=231,
H198*0.005,
IF(H198&lt;=693,
231*0.005+(H198-231)*0.02,
231*0.005+462*0.02+(H198-693)*0.045
))</f>
        <v>17.060669999999995</v>
      </c>
      <c r="K198" s="7">
        <f>H198*0.04</f>
        <v>33.645039999999995</v>
      </c>
      <c r="L198" s="7">
        <f>I198+J198+K198</f>
        <v>157.15610999999993</v>
      </c>
      <c r="M198" s="7">
        <f>H198-L198</f>
        <v>683.96988999999996</v>
      </c>
    </row>
    <row r="199" spans="1:13" x14ac:dyDescent="0.3">
      <c r="A199" t="s">
        <v>129</v>
      </c>
      <c r="B199" t="s">
        <v>9</v>
      </c>
      <c r="C199" s="7">
        <v>21.63</v>
      </c>
      <c r="D199" s="8">
        <v>38.9</v>
      </c>
      <c r="E199" s="8">
        <f>MAX(0, D199-40)</f>
        <v>0</v>
      </c>
      <c r="F199" s="7">
        <f>MIN(D199,40)*C199</f>
        <v>841.40699999999993</v>
      </c>
      <c r="G199" s="9">
        <f>E199 * C199 * 1.5</f>
        <v>0</v>
      </c>
      <c r="H199" s="7">
        <f>F199+G199</f>
        <v>841.40699999999993</v>
      </c>
      <c r="I199" s="7">
        <f>MAX(0,
IF(H199&lt;=800,
H199*0.2,
800*0.2+(H199-800)*0.4
)-70
)</f>
        <v>106.56279999999998</v>
      </c>
      <c r="J199" s="7">
        <f>IF(H199&lt;=231,
H199*0.005,
IF(H199&lt;=693,
231*0.005+(H199-231)*0.02,
231*0.005+462*0.02+(H199-693)*0.045
))</f>
        <v>17.073314999999994</v>
      </c>
      <c r="K199" s="7">
        <f>H199*0.04</f>
        <v>33.656279999999995</v>
      </c>
      <c r="L199" s="7">
        <f>I199+J199+K199</f>
        <v>157.29239499999997</v>
      </c>
      <c r="M199" s="7">
        <f>H199-L199</f>
        <v>684.11460499999998</v>
      </c>
    </row>
    <row r="200" spans="1:13" x14ac:dyDescent="0.3">
      <c r="A200" t="s">
        <v>197</v>
      </c>
      <c r="B200" t="s">
        <v>46</v>
      </c>
      <c r="C200" s="7">
        <v>23.16</v>
      </c>
      <c r="D200" s="8">
        <v>36.4</v>
      </c>
      <c r="E200" s="8">
        <f>MAX(0, D200-40)</f>
        <v>0</v>
      </c>
      <c r="F200" s="7">
        <f>MIN(D200,40)*C200</f>
        <v>843.024</v>
      </c>
      <c r="G200" s="9">
        <f>E200 * C200 * 1.5</f>
        <v>0</v>
      </c>
      <c r="H200" s="7">
        <f>F200+G200</f>
        <v>843.024</v>
      </c>
      <c r="I200" s="7">
        <f>MAX(0,
IF(H200&lt;=800,
H200*0.2,
800*0.2+(H200-800)*0.4
)-70
)</f>
        <v>107.20959999999999</v>
      </c>
      <c r="J200" s="7">
        <f>IF(H200&lt;=231,
H200*0.005,
IF(H200&lt;=693,
231*0.005+(H200-231)*0.02,
231*0.005+462*0.02+(H200-693)*0.045
))</f>
        <v>17.146079999999998</v>
      </c>
      <c r="K200" s="7">
        <f>H200*0.04</f>
        <v>33.720959999999998</v>
      </c>
      <c r="L200" s="7">
        <f>I200+J200+K200</f>
        <v>158.07664</v>
      </c>
      <c r="M200" s="7">
        <f>H200-L200</f>
        <v>684.94736</v>
      </c>
    </row>
    <row r="201" spans="1:13" x14ac:dyDescent="0.3">
      <c r="A201" t="s">
        <v>199</v>
      </c>
      <c r="B201" t="s">
        <v>32</v>
      </c>
      <c r="C201" s="7">
        <v>19.47</v>
      </c>
      <c r="D201" s="8">
        <v>42.2</v>
      </c>
      <c r="E201" s="8">
        <f>MAX(0, D201-40)</f>
        <v>2.2000000000000028</v>
      </c>
      <c r="F201" s="7">
        <f>MIN(D201,40)*C201</f>
        <v>778.8</v>
      </c>
      <c r="G201" s="9">
        <f>E201 * C201 * 1.5</f>
        <v>64.251000000000076</v>
      </c>
      <c r="H201" s="7">
        <f>F201+G201</f>
        <v>843.05100000000004</v>
      </c>
      <c r="I201" s="7">
        <f>MAX(0,
IF(H201&lt;=800,
H201*0.2,
800*0.2+(H201-800)*0.4
)-70
)</f>
        <v>107.22040000000001</v>
      </c>
      <c r="J201" s="7">
        <f>IF(H201&lt;=231,
H201*0.005,
IF(H201&lt;=693,
231*0.005+(H201-231)*0.02,
231*0.005+462*0.02+(H201-693)*0.045
))</f>
        <v>17.147295</v>
      </c>
      <c r="K201" s="7">
        <f>H201*0.04</f>
        <v>33.72204</v>
      </c>
      <c r="L201" s="7">
        <f>I201+J201+K201</f>
        <v>158.08973500000002</v>
      </c>
      <c r="M201" s="7">
        <f>H201-L201</f>
        <v>684.96126500000003</v>
      </c>
    </row>
    <row r="202" spans="1:13" x14ac:dyDescent="0.3">
      <c r="A202" t="s">
        <v>254</v>
      </c>
      <c r="B202" t="s">
        <v>17</v>
      </c>
      <c r="C202" s="7">
        <v>19.21</v>
      </c>
      <c r="D202" s="8">
        <v>42.6</v>
      </c>
      <c r="E202" s="8">
        <f>MAX(0, D202-40)</f>
        <v>2.6000000000000014</v>
      </c>
      <c r="F202" s="7">
        <f>MIN(D202,40)*C202</f>
        <v>768.40000000000009</v>
      </c>
      <c r="G202" s="9">
        <f>E202 * C202 * 1.5</f>
        <v>74.91900000000004</v>
      </c>
      <c r="H202" s="7">
        <f>F202+G202</f>
        <v>843.31900000000019</v>
      </c>
      <c r="I202" s="7">
        <f>MAX(0,
IF(H202&lt;=800,
H202*0.2,
800*0.2+(H202-800)*0.4
)-70
)</f>
        <v>107.32760000000007</v>
      </c>
      <c r="J202" s="7">
        <f>IF(H202&lt;=231,
H202*0.005,
IF(H202&lt;=693,
231*0.005+(H202-231)*0.02,
231*0.005+462*0.02+(H202-693)*0.045
))</f>
        <v>17.159355000000009</v>
      </c>
      <c r="K202" s="7">
        <f>H202*0.04</f>
        <v>33.732760000000006</v>
      </c>
      <c r="L202" s="7">
        <f>I202+J202+K202</f>
        <v>158.21971500000009</v>
      </c>
      <c r="M202" s="7">
        <f>H202-L202</f>
        <v>685.09928500000012</v>
      </c>
    </row>
    <row r="203" spans="1:13" x14ac:dyDescent="0.3">
      <c r="A203" t="s">
        <v>424</v>
      </c>
      <c r="B203" t="s">
        <v>7</v>
      </c>
      <c r="C203" s="7">
        <v>20.12</v>
      </c>
      <c r="D203" s="8">
        <v>41.3</v>
      </c>
      <c r="E203" s="8">
        <f>MAX(0, D203-40)</f>
        <v>1.2999999999999972</v>
      </c>
      <c r="F203" s="7">
        <f>MIN(D203,40)*C203</f>
        <v>804.80000000000007</v>
      </c>
      <c r="G203" s="9">
        <f>E203 * C203 * 1.5</f>
        <v>39.233999999999916</v>
      </c>
      <c r="H203" s="7">
        <f>F203+G203</f>
        <v>844.03399999999999</v>
      </c>
      <c r="I203" s="7">
        <f>MAX(0,
IF(H203&lt;=800,
H203*0.2,
800*0.2+(H203-800)*0.4
)-70
)</f>
        <v>107.61359999999999</v>
      </c>
      <c r="J203" s="7">
        <f>IF(H203&lt;=231,
H203*0.005,
IF(H203&lt;=693,
231*0.005+(H203-231)*0.02,
231*0.005+462*0.02+(H203-693)*0.045
))</f>
        <v>17.19153</v>
      </c>
      <c r="K203" s="7">
        <f>H203*0.04</f>
        <v>33.761360000000003</v>
      </c>
      <c r="L203" s="7">
        <f>I203+J203+K203</f>
        <v>158.56648999999999</v>
      </c>
      <c r="M203" s="7">
        <f>H203-L203</f>
        <v>685.46750999999995</v>
      </c>
    </row>
    <row r="204" spans="1:13" x14ac:dyDescent="0.3">
      <c r="A204" t="s">
        <v>133</v>
      </c>
      <c r="B204" t="s">
        <v>66</v>
      </c>
      <c r="C204" s="7">
        <v>21.79</v>
      </c>
      <c r="D204" s="8">
        <v>38.799999999999997</v>
      </c>
      <c r="E204" s="8">
        <f>MAX(0, D204-40)</f>
        <v>0</v>
      </c>
      <c r="F204" s="7">
        <f>MIN(D204,40)*C204</f>
        <v>845.45199999999988</v>
      </c>
      <c r="G204" s="9">
        <f>E204 * C204 * 1.5</f>
        <v>0</v>
      </c>
      <c r="H204" s="7">
        <f>F204+G204</f>
        <v>845.45199999999988</v>
      </c>
      <c r="I204" s="7">
        <f>MAX(0,
IF(H204&lt;=800,
H204*0.2,
800*0.2+(H204-800)*0.4
)-70
)</f>
        <v>108.18079999999995</v>
      </c>
      <c r="J204" s="7">
        <f>IF(H204&lt;=231,
H204*0.005,
IF(H204&lt;=693,
231*0.005+(H204-231)*0.02,
231*0.005+462*0.02+(H204-693)*0.045
))</f>
        <v>17.255339999999993</v>
      </c>
      <c r="K204" s="7">
        <f>H204*0.04</f>
        <v>33.818079999999995</v>
      </c>
      <c r="L204" s="7">
        <f>I204+J204+K204</f>
        <v>159.25421999999992</v>
      </c>
      <c r="M204" s="7">
        <f>H204-L204</f>
        <v>686.19777999999997</v>
      </c>
    </row>
    <row r="205" spans="1:13" x14ac:dyDescent="0.3">
      <c r="A205" t="s">
        <v>77</v>
      </c>
      <c r="B205" t="s">
        <v>9</v>
      </c>
      <c r="C205" s="7">
        <v>20.09</v>
      </c>
      <c r="D205" s="8">
        <v>41.5</v>
      </c>
      <c r="E205" s="8">
        <f>MAX(0, D205-40)</f>
        <v>1.5</v>
      </c>
      <c r="F205" s="7">
        <f>MIN(D205,40)*C205</f>
        <v>803.6</v>
      </c>
      <c r="G205" s="9">
        <f>E205 * C205 * 1.5</f>
        <v>45.202500000000001</v>
      </c>
      <c r="H205" s="7">
        <f>F205+G205</f>
        <v>848.80250000000001</v>
      </c>
      <c r="I205" s="7">
        <f>MAX(0,
IF(H205&lt;=800,
H205*0.2,
800*0.2+(H205-800)*0.4
)-70
)</f>
        <v>109.52100000000002</v>
      </c>
      <c r="J205" s="7">
        <f>IF(H205&lt;=231,
H205*0.005,
IF(H205&lt;=693,
231*0.005+(H205-231)*0.02,
231*0.005+462*0.02+(H205-693)*0.045
))</f>
        <v>17.406112499999999</v>
      </c>
      <c r="K205" s="7">
        <f>H205*0.04</f>
        <v>33.952100000000002</v>
      </c>
      <c r="L205" s="7">
        <f>I205+J205+K205</f>
        <v>160.87921250000002</v>
      </c>
      <c r="M205" s="7">
        <f>H205-L205</f>
        <v>687.92328750000001</v>
      </c>
    </row>
    <row r="206" spans="1:13" x14ac:dyDescent="0.3">
      <c r="A206" t="s">
        <v>264</v>
      </c>
      <c r="B206" t="s">
        <v>21</v>
      </c>
      <c r="C206" s="7">
        <v>21.73</v>
      </c>
      <c r="D206" s="8">
        <v>39.1</v>
      </c>
      <c r="E206" s="8">
        <f>MAX(0, D206-40)</f>
        <v>0</v>
      </c>
      <c r="F206" s="7">
        <f>MIN(D206,40)*C206</f>
        <v>849.64300000000003</v>
      </c>
      <c r="G206" s="9">
        <f>E206 * C206 * 1.5</f>
        <v>0</v>
      </c>
      <c r="H206" s="7">
        <f>F206+G206</f>
        <v>849.64300000000003</v>
      </c>
      <c r="I206" s="7">
        <f>MAX(0,
IF(H206&lt;=800,
H206*0.2,
800*0.2+(H206-800)*0.4
)-70
)</f>
        <v>109.85720000000001</v>
      </c>
      <c r="J206" s="7">
        <f>IF(H206&lt;=231,
H206*0.005,
IF(H206&lt;=693,
231*0.005+(H206-231)*0.02,
231*0.005+462*0.02+(H206-693)*0.045
))</f>
        <v>17.443935</v>
      </c>
      <c r="K206" s="7">
        <f>H206*0.04</f>
        <v>33.985720000000001</v>
      </c>
      <c r="L206" s="7">
        <f>I206+J206+K206</f>
        <v>161.286855</v>
      </c>
      <c r="M206" s="7">
        <f>H206-L206</f>
        <v>688.35614499999997</v>
      </c>
    </row>
    <row r="207" spans="1:13" x14ac:dyDescent="0.3">
      <c r="A207" t="s">
        <v>156</v>
      </c>
      <c r="B207" t="s">
        <v>21</v>
      </c>
      <c r="C207" s="7">
        <v>20.96</v>
      </c>
      <c r="D207" s="8">
        <v>40.4</v>
      </c>
      <c r="E207" s="8">
        <f>MAX(0, D207-40)</f>
        <v>0.39999999999999858</v>
      </c>
      <c r="F207" s="7">
        <f>MIN(D207,40)*C207</f>
        <v>838.40000000000009</v>
      </c>
      <c r="G207" s="9">
        <f>E207 * C207 * 1.5</f>
        <v>12.575999999999954</v>
      </c>
      <c r="H207" s="7">
        <f>F207+G207</f>
        <v>850.976</v>
      </c>
      <c r="I207" s="7">
        <f>MAX(0,
IF(H207&lt;=800,
H207*0.2,
800*0.2+(H207-800)*0.4
)-70
)</f>
        <v>110.3904</v>
      </c>
      <c r="J207" s="7">
        <f>IF(H207&lt;=231,
H207*0.005,
IF(H207&lt;=693,
231*0.005+(H207-231)*0.02,
231*0.005+462*0.02+(H207-693)*0.045
))</f>
        <v>17.503920000000001</v>
      </c>
      <c r="K207" s="7">
        <f>H207*0.04</f>
        <v>34.03904</v>
      </c>
      <c r="L207" s="7">
        <f>I207+J207+K207</f>
        <v>161.93335999999999</v>
      </c>
      <c r="M207" s="7">
        <f>H207-L207</f>
        <v>689.04264000000001</v>
      </c>
    </row>
    <row r="208" spans="1:13" x14ac:dyDescent="0.3">
      <c r="A208" t="s">
        <v>162</v>
      </c>
      <c r="B208" t="s">
        <v>61</v>
      </c>
      <c r="C208" s="7">
        <v>18.75</v>
      </c>
      <c r="D208" s="8">
        <v>43.6</v>
      </c>
      <c r="E208" s="8">
        <f>MAX(0, D208-40)</f>
        <v>3.6000000000000014</v>
      </c>
      <c r="F208" s="7">
        <f>MIN(D208,40)*C208</f>
        <v>750</v>
      </c>
      <c r="G208" s="9">
        <f>E208 * C208 * 1.5</f>
        <v>101.25000000000004</v>
      </c>
      <c r="H208" s="7">
        <f>F208+G208</f>
        <v>851.25</v>
      </c>
      <c r="I208" s="7">
        <f>MAX(0,
IF(H208&lt;=800,
H208*0.2,
800*0.2+(H208-800)*0.4
)-70
)</f>
        <v>110.5</v>
      </c>
      <c r="J208" s="7">
        <f>IF(H208&lt;=231,
H208*0.005,
IF(H208&lt;=693,
231*0.005+(H208-231)*0.02,
231*0.005+462*0.02+(H208-693)*0.045
))</f>
        <v>17.516249999999999</v>
      </c>
      <c r="K208" s="7">
        <f>H208*0.04</f>
        <v>34.049999999999997</v>
      </c>
      <c r="L208" s="7">
        <f>I208+J208+K208</f>
        <v>162.06625000000003</v>
      </c>
      <c r="M208" s="7">
        <f>H208-L208</f>
        <v>689.18374999999992</v>
      </c>
    </row>
    <row r="209" spans="1:13" x14ac:dyDescent="0.3">
      <c r="A209" t="s">
        <v>262</v>
      </c>
      <c r="B209" t="s">
        <v>37</v>
      </c>
      <c r="C209" s="7">
        <v>22.83</v>
      </c>
      <c r="D209" s="8">
        <v>37.299999999999997</v>
      </c>
      <c r="E209" s="8">
        <f>MAX(0, D209-40)</f>
        <v>0</v>
      </c>
      <c r="F209" s="7">
        <f>MIN(D209,40)*C209</f>
        <v>851.55899999999986</v>
      </c>
      <c r="G209" s="9">
        <f>E209 * C209 * 1.5</f>
        <v>0</v>
      </c>
      <c r="H209" s="7">
        <f>F209+G209</f>
        <v>851.55899999999986</v>
      </c>
      <c r="I209" s="7">
        <f>MAX(0,
IF(H209&lt;=800,
H209*0.2,
800*0.2+(H209-800)*0.4
)-70
)</f>
        <v>110.62359999999995</v>
      </c>
      <c r="J209" s="7">
        <f>IF(H209&lt;=231,
H209*0.005,
IF(H209&lt;=693,
231*0.005+(H209-231)*0.02,
231*0.005+462*0.02+(H209-693)*0.045
))</f>
        <v>17.530154999999993</v>
      </c>
      <c r="K209" s="7">
        <f>H209*0.04</f>
        <v>34.062359999999998</v>
      </c>
      <c r="L209" s="7">
        <f>I209+J209+K209</f>
        <v>162.21611499999995</v>
      </c>
      <c r="M209" s="7">
        <f>H209-L209</f>
        <v>689.34288499999991</v>
      </c>
    </row>
    <row r="210" spans="1:13" x14ac:dyDescent="0.3">
      <c r="A210" t="s">
        <v>286</v>
      </c>
      <c r="B210" t="s">
        <v>37</v>
      </c>
      <c r="C210" s="7">
        <v>19.350000000000001</v>
      </c>
      <c r="D210" s="8">
        <v>42.7</v>
      </c>
      <c r="E210" s="8">
        <f>MAX(0, D210-40)</f>
        <v>2.7000000000000028</v>
      </c>
      <c r="F210" s="7">
        <f>MIN(D210,40)*C210</f>
        <v>774</v>
      </c>
      <c r="G210" s="9">
        <f>E210 * C210 * 1.5</f>
        <v>78.367500000000092</v>
      </c>
      <c r="H210" s="7">
        <f>F210+G210</f>
        <v>852.36750000000006</v>
      </c>
      <c r="I210" s="7">
        <f>MAX(0,
IF(H210&lt;=800,
H210*0.2,
800*0.2+(H210-800)*0.4
)-70
)</f>
        <v>110.94700000000003</v>
      </c>
      <c r="J210" s="7">
        <f>IF(H210&lt;=231,
H210*0.005,
IF(H210&lt;=693,
231*0.005+(H210-231)*0.02,
231*0.005+462*0.02+(H210-693)*0.045
))</f>
        <v>17.566537500000003</v>
      </c>
      <c r="K210" s="7">
        <f>H210*0.04</f>
        <v>34.094700000000003</v>
      </c>
      <c r="L210" s="7">
        <f>I210+J210+K210</f>
        <v>162.60823750000003</v>
      </c>
      <c r="M210" s="7">
        <f>H210-L210</f>
        <v>689.75926249999998</v>
      </c>
    </row>
    <row r="211" spans="1:13" x14ac:dyDescent="0.3">
      <c r="A211" t="s">
        <v>213</v>
      </c>
      <c r="B211" t="s">
        <v>7</v>
      </c>
      <c r="C211" s="7">
        <v>22.89</v>
      </c>
      <c r="D211" s="8">
        <v>37.299999999999997</v>
      </c>
      <c r="E211" s="8">
        <f>MAX(0, D211-40)</f>
        <v>0</v>
      </c>
      <c r="F211" s="7">
        <f>MIN(D211,40)*C211</f>
        <v>853.79699999999991</v>
      </c>
      <c r="G211" s="9">
        <f>E211 * C211 * 1.5</f>
        <v>0</v>
      </c>
      <c r="H211" s="7">
        <f>F211+G211</f>
        <v>853.79699999999991</v>
      </c>
      <c r="I211" s="7">
        <f>MAX(0,
IF(H211&lt;=800,
H211*0.2,
800*0.2+(H211-800)*0.4
)-70
)</f>
        <v>111.51879999999997</v>
      </c>
      <c r="J211" s="7">
        <f>IF(H211&lt;=231,
H211*0.005,
IF(H211&lt;=693,
231*0.005+(H211-231)*0.02,
231*0.005+462*0.02+(H211-693)*0.045
))</f>
        <v>17.630864999999996</v>
      </c>
      <c r="K211" s="7">
        <f>H211*0.04</f>
        <v>34.151879999999998</v>
      </c>
      <c r="L211" s="7">
        <f>I211+J211+K211</f>
        <v>163.30154499999998</v>
      </c>
      <c r="M211" s="7">
        <f>H211-L211</f>
        <v>690.49545499999999</v>
      </c>
    </row>
    <row r="212" spans="1:13" x14ac:dyDescent="0.3">
      <c r="A212" t="s">
        <v>16</v>
      </c>
      <c r="B212" t="s">
        <v>17</v>
      </c>
      <c r="C212" s="7">
        <v>21.04</v>
      </c>
      <c r="D212" s="8">
        <v>40.4</v>
      </c>
      <c r="E212" s="8">
        <f>MAX(0, D212-40)</f>
        <v>0.39999999999999858</v>
      </c>
      <c r="F212" s="7">
        <f>MIN(D212,40)*C212</f>
        <v>841.59999999999991</v>
      </c>
      <c r="G212" s="9">
        <f>E212 * C212 * 1.5</f>
        <v>12.623999999999956</v>
      </c>
      <c r="H212" s="7">
        <f>F212+G212</f>
        <v>854.22399999999982</v>
      </c>
      <c r="I212" s="7">
        <f>MAX(0,
IF(H212&lt;=800,
H212*0.2,
800*0.2+(H212-800)*0.4
)-70
)</f>
        <v>111.68959999999993</v>
      </c>
      <c r="J212" s="7">
        <f>IF(H212&lt;=231,
H212*0.005,
IF(H212&lt;=693,
231*0.005+(H212-231)*0.02,
231*0.005+462*0.02+(H212-693)*0.045
))</f>
        <v>17.650079999999992</v>
      </c>
      <c r="K212" s="7">
        <f>H212*0.04</f>
        <v>34.168959999999991</v>
      </c>
      <c r="L212" s="7">
        <f>I212+J212+K212</f>
        <v>163.50863999999993</v>
      </c>
      <c r="M212" s="7">
        <f>H212-L212</f>
        <v>690.71535999999992</v>
      </c>
    </row>
    <row r="213" spans="1:13" x14ac:dyDescent="0.3">
      <c r="A213" t="s">
        <v>146</v>
      </c>
      <c r="B213" t="s">
        <v>21</v>
      </c>
      <c r="C213" s="7">
        <v>21.21</v>
      </c>
      <c r="D213" s="8">
        <v>40.200000000000003</v>
      </c>
      <c r="E213" s="8">
        <f>MAX(0, D213-40)</f>
        <v>0.20000000000000284</v>
      </c>
      <c r="F213" s="7">
        <f>MIN(D213,40)*C213</f>
        <v>848.40000000000009</v>
      </c>
      <c r="G213" s="9">
        <f>E213 * C213 * 1.5</f>
        <v>6.3630000000000901</v>
      </c>
      <c r="H213" s="7">
        <f>F213+G213</f>
        <v>854.76300000000015</v>
      </c>
      <c r="I213" s="7">
        <f>MAX(0,
IF(H213&lt;=800,
H213*0.2,
800*0.2+(H213-800)*0.4
)-70
)</f>
        <v>111.90520000000006</v>
      </c>
      <c r="J213" s="7">
        <f>IF(H213&lt;=231,
H213*0.005,
IF(H213&lt;=693,
231*0.005+(H213-231)*0.02,
231*0.005+462*0.02+(H213-693)*0.045
))</f>
        <v>17.674335000000006</v>
      </c>
      <c r="K213" s="7">
        <f>H213*0.04</f>
        <v>34.190520000000006</v>
      </c>
      <c r="L213" s="7">
        <f>I213+J213+K213</f>
        <v>163.77005500000007</v>
      </c>
      <c r="M213" s="7">
        <f>H213-L213</f>
        <v>690.99294500000008</v>
      </c>
    </row>
    <row r="214" spans="1:13" x14ac:dyDescent="0.3">
      <c r="A214" t="s">
        <v>394</v>
      </c>
      <c r="B214" t="s">
        <v>49</v>
      </c>
      <c r="C214" s="7">
        <v>21.9</v>
      </c>
      <c r="D214" s="8">
        <v>39.1</v>
      </c>
      <c r="E214" s="8">
        <f>MAX(0, D214-40)</f>
        <v>0</v>
      </c>
      <c r="F214" s="7">
        <f>MIN(D214,40)*C214</f>
        <v>856.29</v>
      </c>
      <c r="G214" s="9">
        <f>E214 * C214 * 1.5</f>
        <v>0</v>
      </c>
      <c r="H214" s="7">
        <f>F214+G214</f>
        <v>856.29</v>
      </c>
      <c r="I214" s="7">
        <f>MAX(0,
IF(H214&lt;=800,
H214*0.2,
800*0.2+(H214-800)*0.4
)-70
)</f>
        <v>112.51599999999999</v>
      </c>
      <c r="J214" s="7">
        <f>IF(H214&lt;=231,
H214*0.005,
IF(H214&lt;=693,
231*0.005+(H214-231)*0.02,
231*0.005+462*0.02+(H214-693)*0.045
))</f>
        <v>17.743049999999997</v>
      </c>
      <c r="K214" s="7">
        <f>H214*0.04</f>
        <v>34.251599999999996</v>
      </c>
      <c r="L214" s="7">
        <f>I214+J214+K214</f>
        <v>164.51065</v>
      </c>
      <c r="M214" s="7">
        <f>H214-L214</f>
        <v>691.77935000000002</v>
      </c>
    </row>
    <row r="215" spans="1:13" x14ac:dyDescent="0.3">
      <c r="A215" t="s">
        <v>255</v>
      </c>
      <c r="B215" t="s">
        <v>5</v>
      </c>
      <c r="C215" s="7">
        <v>21.98</v>
      </c>
      <c r="D215" s="8">
        <v>39</v>
      </c>
      <c r="E215" s="8">
        <f>MAX(0, D215-40)</f>
        <v>0</v>
      </c>
      <c r="F215" s="7">
        <f>MIN(D215,40)*C215</f>
        <v>857.22</v>
      </c>
      <c r="G215" s="9">
        <f>E215 * C215 * 1.5</f>
        <v>0</v>
      </c>
      <c r="H215" s="7">
        <f>F215+G215</f>
        <v>857.22</v>
      </c>
      <c r="I215" s="7">
        <f>MAX(0,
IF(H215&lt;=800,
H215*0.2,
800*0.2+(H215-800)*0.4
)-70
)</f>
        <v>112.88800000000001</v>
      </c>
      <c r="J215" s="7">
        <f>IF(H215&lt;=231,
H215*0.005,
IF(H215&lt;=693,
231*0.005+(H215-231)*0.02,
231*0.005+462*0.02+(H215-693)*0.045
))</f>
        <v>17.7849</v>
      </c>
      <c r="K215" s="7">
        <f>H215*0.04</f>
        <v>34.288800000000002</v>
      </c>
      <c r="L215" s="7">
        <f>I215+J215+K215</f>
        <v>164.96170000000001</v>
      </c>
      <c r="M215" s="7">
        <f>H215-L215</f>
        <v>692.25829999999996</v>
      </c>
    </row>
    <row r="216" spans="1:13" x14ac:dyDescent="0.3">
      <c r="A216" t="s">
        <v>161</v>
      </c>
      <c r="B216" t="s">
        <v>73</v>
      </c>
      <c r="C216" s="7">
        <v>21.62</v>
      </c>
      <c r="D216" s="8">
        <v>39.700000000000003</v>
      </c>
      <c r="E216" s="8">
        <f>MAX(0, D216-40)</f>
        <v>0</v>
      </c>
      <c r="F216" s="7">
        <f>MIN(D216,40)*C216</f>
        <v>858.31400000000008</v>
      </c>
      <c r="G216" s="9">
        <f>E216 * C216 * 1.5</f>
        <v>0</v>
      </c>
      <c r="H216" s="7">
        <f>F216+G216</f>
        <v>858.31400000000008</v>
      </c>
      <c r="I216" s="7">
        <f>MAX(0,
IF(H216&lt;=800,
H216*0.2,
800*0.2+(H216-800)*0.4
)-70
)</f>
        <v>113.32560000000004</v>
      </c>
      <c r="J216" s="7">
        <f>IF(H216&lt;=231,
H216*0.005,
IF(H216&lt;=693,
231*0.005+(H216-231)*0.02,
231*0.005+462*0.02+(H216-693)*0.045
))</f>
        <v>17.834130000000002</v>
      </c>
      <c r="K216" s="7">
        <f>H216*0.04</f>
        <v>34.332560000000001</v>
      </c>
      <c r="L216" s="7">
        <f>I216+J216+K216</f>
        <v>165.49229000000003</v>
      </c>
      <c r="M216" s="7">
        <f>H216-L216</f>
        <v>692.82171000000005</v>
      </c>
    </row>
    <row r="217" spans="1:13" x14ac:dyDescent="0.3">
      <c r="A217" t="s">
        <v>240</v>
      </c>
      <c r="B217" t="s">
        <v>49</v>
      </c>
      <c r="C217" s="7">
        <v>23.81</v>
      </c>
      <c r="D217" s="8">
        <v>36.1</v>
      </c>
      <c r="E217" s="8">
        <f>MAX(0, D217-40)</f>
        <v>0</v>
      </c>
      <c r="F217" s="7">
        <f>MIN(D217,40)*C217</f>
        <v>859.54099999999994</v>
      </c>
      <c r="G217" s="9">
        <f>E217 * C217 * 1.5</f>
        <v>0</v>
      </c>
      <c r="H217" s="7">
        <f>F217+G217</f>
        <v>859.54099999999994</v>
      </c>
      <c r="I217" s="7">
        <f>MAX(0,
IF(H217&lt;=800,
H217*0.2,
800*0.2+(H217-800)*0.4
)-70
)</f>
        <v>113.81639999999999</v>
      </c>
      <c r="J217" s="7">
        <f>IF(H217&lt;=231,
H217*0.005,
IF(H217&lt;=693,
231*0.005+(H217-231)*0.02,
231*0.005+462*0.02+(H217-693)*0.045
))</f>
        <v>17.889344999999999</v>
      </c>
      <c r="K217" s="7">
        <f>H217*0.04</f>
        <v>34.381639999999997</v>
      </c>
      <c r="L217" s="7">
        <f>I217+J217+K217</f>
        <v>166.08738499999998</v>
      </c>
      <c r="M217" s="7">
        <f>H217-L217</f>
        <v>693.4536149999999</v>
      </c>
    </row>
    <row r="218" spans="1:13" x14ac:dyDescent="0.3">
      <c r="A218" t="s">
        <v>109</v>
      </c>
      <c r="B218" t="s">
        <v>66</v>
      </c>
      <c r="C218" s="7">
        <v>21.44</v>
      </c>
      <c r="D218" s="8">
        <v>40.1</v>
      </c>
      <c r="E218" s="8">
        <f>MAX(0, D218-40)</f>
        <v>0.10000000000000142</v>
      </c>
      <c r="F218" s="7">
        <f>MIN(D218,40)*C218</f>
        <v>857.6</v>
      </c>
      <c r="G218" s="9">
        <f>E218 * C218 * 1.5</f>
        <v>3.2160000000000464</v>
      </c>
      <c r="H218" s="7">
        <f>F218+G218</f>
        <v>860.81600000000003</v>
      </c>
      <c r="I218" s="7">
        <f>MAX(0,
IF(H218&lt;=800,
H218*0.2,
800*0.2+(H218-800)*0.4
)-70
)</f>
        <v>114.32640000000001</v>
      </c>
      <c r="J218" s="7">
        <f>IF(H218&lt;=231,
H218*0.005,
IF(H218&lt;=693,
231*0.005+(H218-231)*0.02,
231*0.005+462*0.02+(H218-693)*0.045
))</f>
        <v>17.946719999999999</v>
      </c>
      <c r="K218" s="7">
        <f>H218*0.04</f>
        <v>34.432639999999999</v>
      </c>
      <c r="L218" s="7">
        <f>I218+J218+K218</f>
        <v>166.70576</v>
      </c>
      <c r="M218" s="7">
        <f>H218-L218</f>
        <v>694.11023999999998</v>
      </c>
    </row>
    <row r="219" spans="1:13" x14ac:dyDescent="0.3">
      <c r="A219" t="s">
        <v>69</v>
      </c>
      <c r="B219" t="s">
        <v>17</v>
      </c>
      <c r="C219" s="7">
        <v>21.72</v>
      </c>
      <c r="D219" s="8">
        <v>39.700000000000003</v>
      </c>
      <c r="E219" s="8">
        <f>MAX(0, D219-40)</f>
        <v>0</v>
      </c>
      <c r="F219" s="7">
        <f>MIN(D219,40)*C219</f>
        <v>862.28399999999999</v>
      </c>
      <c r="G219" s="9">
        <f>E219 * C219 * 1.5</f>
        <v>0</v>
      </c>
      <c r="H219" s="7">
        <f>F219+G219</f>
        <v>862.28399999999999</v>
      </c>
      <c r="I219" s="7">
        <f>MAX(0,
IF(H219&lt;=800,
H219*0.2,
800*0.2+(H219-800)*0.4
)-70
)</f>
        <v>114.9136</v>
      </c>
      <c r="J219" s="7">
        <f>IF(H219&lt;=231,
H219*0.005,
IF(H219&lt;=693,
231*0.005+(H219-231)*0.02,
231*0.005+462*0.02+(H219-693)*0.045
))</f>
        <v>18.012779999999999</v>
      </c>
      <c r="K219" s="7">
        <f>H219*0.04</f>
        <v>34.49136</v>
      </c>
      <c r="L219" s="7">
        <f>I219+J219+K219</f>
        <v>167.41773999999998</v>
      </c>
      <c r="M219" s="7">
        <f>H219-L219</f>
        <v>694.86626000000001</v>
      </c>
    </row>
    <row r="220" spans="1:13" x14ac:dyDescent="0.3">
      <c r="A220" t="s">
        <v>200</v>
      </c>
      <c r="B220" t="s">
        <v>21</v>
      </c>
      <c r="C220" s="7">
        <v>24.37</v>
      </c>
      <c r="D220" s="8">
        <v>35.4</v>
      </c>
      <c r="E220" s="8">
        <f>MAX(0, D220-40)</f>
        <v>0</v>
      </c>
      <c r="F220" s="7">
        <f>MIN(D220,40)*C220</f>
        <v>862.69799999999998</v>
      </c>
      <c r="G220" s="9">
        <f>E220 * C220 * 1.5</f>
        <v>0</v>
      </c>
      <c r="H220" s="7">
        <f>F220+G220</f>
        <v>862.69799999999998</v>
      </c>
      <c r="I220" s="7">
        <f>MAX(0,
IF(H220&lt;=800,
H220*0.2,
800*0.2+(H220-800)*0.4
)-70
)</f>
        <v>115.07919999999999</v>
      </c>
      <c r="J220" s="7">
        <f>IF(H220&lt;=231,
H220*0.005,
IF(H220&lt;=693,
231*0.005+(H220-231)*0.02,
231*0.005+462*0.02+(H220-693)*0.045
))</f>
        <v>18.031409999999997</v>
      </c>
      <c r="K220" s="7">
        <f>H220*0.04</f>
        <v>34.507919999999999</v>
      </c>
      <c r="L220" s="7">
        <f>I220+J220+K220</f>
        <v>167.61852999999996</v>
      </c>
      <c r="M220" s="7">
        <f>H220-L220</f>
        <v>695.07947000000001</v>
      </c>
    </row>
    <row r="221" spans="1:13" x14ac:dyDescent="0.3">
      <c r="A221" t="s">
        <v>350</v>
      </c>
      <c r="B221" t="s">
        <v>19</v>
      </c>
      <c r="C221" s="7">
        <v>23.32</v>
      </c>
      <c r="D221" s="8">
        <v>37</v>
      </c>
      <c r="E221" s="8">
        <f>MAX(0, D221-40)</f>
        <v>0</v>
      </c>
      <c r="F221" s="7">
        <f>MIN(D221,40)*C221</f>
        <v>862.84</v>
      </c>
      <c r="G221" s="9">
        <f>E221 * C221 * 1.5</f>
        <v>0</v>
      </c>
      <c r="H221" s="7">
        <f>F221+G221</f>
        <v>862.84</v>
      </c>
      <c r="I221" s="7">
        <f>MAX(0,
IF(H221&lt;=800,
H221*0.2,
800*0.2+(H221-800)*0.4
)-70
)</f>
        <v>115.13600000000002</v>
      </c>
      <c r="J221" s="7">
        <f>IF(H221&lt;=231,
H221*0.005,
IF(H221&lt;=693,
231*0.005+(H221-231)*0.02,
231*0.005+462*0.02+(H221-693)*0.045
))</f>
        <v>18.037800000000001</v>
      </c>
      <c r="K221" s="7">
        <f>H221*0.04</f>
        <v>34.513600000000004</v>
      </c>
      <c r="L221" s="7">
        <f>I221+J221+K221</f>
        <v>167.68740000000003</v>
      </c>
      <c r="M221" s="7">
        <f>H221-L221</f>
        <v>695.15260000000001</v>
      </c>
    </row>
    <row r="222" spans="1:13" x14ac:dyDescent="0.3">
      <c r="A222" t="s">
        <v>466</v>
      </c>
      <c r="B222" t="s">
        <v>209</v>
      </c>
      <c r="C222" s="7">
        <v>19.79</v>
      </c>
      <c r="D222" s="8">
        <v>42.4</v>
      </c>
      <c r="E222" s="8">
        <f>MAX(0, D222-40)</f>
        <v>2.3999999999999986</v>
      </c>
      <c r="F222" s="7">
        <f>MIN(D222,40)*C222</f>
        <v>791.59999999999991</v>
      </c>
      <c r="G222" s="9">
        <f>E222 * C222 * 1.5</f>
        <v>71.243999999999943</v>
      </c>
      <c r="H222" s="7">
        <f>F222+G222</f>
        <v>862.84399999999982</v>
      </c>
      <c r="I222" s="7">
        <f>MAX(0,
IF(H222&lt;=800,
H222*0.2,
800*0.2+(H222-800)*0.4
)-70
)</f>
        <v>115.13759999999994</v>
      </c>
      <c r="J222" s="7">
        <f>IF(H222&lt;=231,
H222*0.005,
IF(H222&lt;=693,
231*0.005+(H222-231)*0.02,
231*0.005+462*0.02+(H222-693)*0.045
))</f>
        <v>18.03797999999999</v>
      </c>
      <c r="K222" s="7">
        <f>H222*0.04</f>
        <v>34.513759999999991</v>
      </c>
      <c r="L222" s="7">
        <f>I222+J222+K222</f>
        <v>167.6893399999999</v>
      </c>
      <c r="M222" s="7">
        <f>H222-L222</f>
        <v>695.15465999999992</v>
      </c>
    </row>
    <row r="223" spans="1:13" x14ac:dyDescent="0.3">
      <c r="A223" t="s">
        <v>210</v>
      </c>
      <c r="B223" t="s">
        <v>49</v>
      </c>
      <c r="C223" s="7">
        <v>22.26</v>
      </c>
      <c r="D223" s="8">
        <v>38.799999999999997</v>
      </c>
      <c r="E223" s="8">
        <f>MAX(0, D223-40)</f>
        <v>0</v>
      </c>
      <c r="F223" s="7">
        <f>MIN(D223,40)*C223</f>
        <v>863.68799999999999</v>
      </c>
      <c r="G223" s="9">
        <f>E223 * C223 * 1.5</f>
        <v>0</v>
      </c>
      <c r="H223" s="7">
        <f>F223+G223</f>
        <v>863.68799999999999</v>
      </c>
      <c r="I223" s="7">
        <f>MAX(0,
IF(H223&lt;=800,
H223*0.2,
800*0.2+(H223-800)*0.4
)-70
)</f>
        <v>115.4752</v>
      </c>
      <c r="J223" s="7">
        <f>IF(H223&lt;=231,
H223*0.005,
IF(H223&lt;=693,
231*0.005+(H223-231)*0.02,
231*0.005+462*0.02+(H223-693)*0.045
))</f>
        <v>18.075959999999998</v>
      </c>
      <c r="K223" s="7">
        <f>H223*0.04</f>
        <v>34.547519999999999</v>
      </c>
      <c r="L223" s="7">
        <f>I223+J223+K223</f>
        <v>168.09868</v>
      </c>
      <c r="M223" s="7">
        <f>H223-L223</f>
        <v>695.58932000000004</v>
      </c>
    </row>
    <row r="224" spans="1:13" x14ac:dyDescent="0.3">
      <c r="A224" t="s">
        <v>317</v>
      </c>
      <c r="B224" t="s">
        <v>5</v>
      </c>
      <c r="C224" s="7">
        <v>20.55</v>
      </c>
      <c r="D224" s="8">
        <v>41.5</v>
      </c>
      <c r="E224" s="8">
        <f>MAX(0, D224-40)</f>
        <v>1.5</v>
      </c>
      <c r="F224" s="7">
        <f>MIN(D224,40)*C224</f>
        <v>822</v>
      </c>
      <c r="G224" s="9">
        <f>E224 * C224 * 1.5</f>
        <v>46.237500000000004</v>
      </c>
      <c r="H224" s="7">
        <f>F224+G224</f>
        <v>868.23749999999995</v>
      </c>
      <c r="I224" s="7">
        <f>MAX(0,
IF(H224&lt;=800,
H224*0.2,
800*0.2+(H224-800)*0.4
)-70
)</f>
        <v>117.29499999999999</v>
      </c>
      <c r="J224" s="7">
        <f>IF(H224&lt;=231,
H224*0.005,
IF(H224&lt;=693,
231*0.005+(H224-231)*0.02,
231*0.005+462*0.02+(H224-693)*0.045
))</f>
        <v>18.280687499999999</v>
      </c>
      <c r="K224" s="7">
        <f>H224*0.04</f>
        <v>34.729500000000002</v>
      </c>
      <c r="L224" s="7">
        <f>I224+J224+K224</f>
        <v>170.30518749999999</v>
      </c>
      <c r="M224" s="7">
        <f>H224-L224</f>
        <v>697.93231249999997</v>
      </c>
    </row>
    <row r="225" spans="1:13" x14ac:dyDescent="0.3">
      <c r="A225" t="s">
        <v>275</v>
      </c>
      <c r="B225" t="s">
        <v>99</v>
      </c>
      <c r="C225" s="7">
        <v>24.45</v>
      </c>
      <c r="D225" s="8">
        <v>35.6</v>
      </c>
      <c r="E225" s="8">
        <f>MAX(0, D225-40)</f>
        <v>0</v>
      </c>
      <c r="F225" s="7">
        <f>MIN(D225,40)*C225</f>
        <v>870.42</v>
      </c>
      <c r="G225" s="9">
        <f>E225 * C225 * 1.5</f>
        <v>0</v>
      </c>
      <c r="H225" s="7">
        <f>F225+G225</f>
        <v>870.42</v>
      </c>
      <c r="I225" s="7">
        <f>MAX(0,
IF(H225&lt;=800,
H225*0.2,
800*0.2+(H225-800)*0.4
)-70
)</f>
        <v>118.16799999999998</v>
      </c>
      <c r="J225" s="7">
        <f>IF(H225&lt;=231,
H225*0.005,
IF(H225&lt;=693,
231*0.005+(H225-231)*0.02,
231*0.005+462*0.02+(H225-693)*0.045
))</f>
        <v>18.378899999999998</v>
      </c>
      <c r="K225" s="7">
        <f>H225*0.04</f>
        <v>34.816800000000001</v>
      </c>
      <c r="L225" s="7">
        <f>I225+J225+K225</f>
        <v>171.36369999999997</v>
      </c>
      <c r="M225" s="7">
        <f>H225-L225</f>
        <v>699.05629999999996</v>
      </c>
    </row>
    <row r="226" spans="1:13" x14ac:dyDescent="0.3">
      <c r="A226" t="s">
        <v>144</v>
      </c>
      <c r="B226" t="s">
        <v>145</v>
      </c>
      <c r="C226" s="7">
        <v>18.62</v>
      </c>
      <c r="D226" s="8">
        <v>44.6</v>
      </c>
      <c r="E226" s="8">
        <f>MAX(0, D226-40)</f>
        <v>4.6000000000000014</v>
      </c>
      <c r="F226" s="7">
        <f>MIN(D226,40)*C226</f>
        <v>744.80000000000007</v>
      </c>
      <c r="G226" s="9">
        <f>E226 * C226 * 1.5</f>
        <v>128.47800000000004</v>
      </c>
      <c r="H226" s="7">
        <f>F226+G226</f>
        <v>873.27800000000013</v>
      </c>
      <c r="I226" s="7">
        <f>MAX(0,
IF(H226&lt;=800,
H226*0.2,
800*0.2+(H226-800)*0.4
)-70
)</f>
        <v>119.31120000000004</v>
      </c>
      <c r="J226" s="7">
        <f>IF(H226&lt;=231,
H226*0.005,
IF(H226&lt;=693,
231*0.005+(H226-231)*0.02,
231*0.005+462*0.02+(H226-693)*0.045
))</f>
        <v>18.507510000000003</v>
      </c>
      <c r="K226" s="7">
        <f>H226*0.04</f>
        <v>34.931120000000007</v>
      </c>
      <c r="L226" s="7">
        <f>I226+J226+K226</f>
        <v>172.74983000000003</v>
      </c>
      <c r="M226" s="7">
        <f>H226-L226</f>
        <v>700.52817000000005</v>
      </c>
    </row>
    <row r="227" spans="1:13" x14ac:dyDescent="0.3">
      <c r="A227" t="s">
        <v>134</v>
      </c>
      <c r="B227" t="s">
        <v>17</v>
      </c>
      <c r="C227" s="7">
        <v>20</v>
      </c>
      <c r="D227" s="8">
        <v>42.5</v>
      </c>
      <c r="E227" s="8">
        <f>MAX(0, D227-40)</f>
        <v>2.5</v>
      </c>
      <c r="F227" s="7">
        <f>MIN(D227,40)*C227</f>
        <v>800</v>
      </c>
      <c r="G227" s="9">
        <f>E227 * C227 * 1.5</f>
        <v>75</v>
      </c>
      <c r="H227" s="7">
        <f>F227+G227</f>
        <v>875</v>
      </c>
      <c r="I227" s="7">
        <f>MAX(0,
IF(H227&lt;=800,
H227*0.2,
800*0.2+(H227-800)*0.4
)-70
)</f>
        <v>120</v>
      </c>
      <c r="J227" s="7">
        <f>IF(H227&lt;=231,
H227*0.005,
IF(H227&lt;=693,
231*0.005+(H227-231)*0.02,
231*0.005+462*0.02+(H227-693)*0.045
))</f>
        <v>18.585000000000001</v>
      </c>
      <c r="K227" s="7">
        <f>H227*0.04</f>
        <v>35</v>
      </c>
      <c r="L227" s="7">
        <f>I227+J227+K227</f>
        <v>173.58500000000001</v>
      </c>
      <c r="M227" s="7">
        <f>H227-L227</f>
        <v>701.41499999999996</v>
      </c>
    </row>
    <row r="228" spans="1:13" x14ac:dyDescent="0.3">
      <c r="A228" t="s">
        <v>453</v>
      </c>
      <c r="B228" t="s">
        <v>15</v>
      </c>
      <c r="C228" s="7">
        <v>22.55</v>
      </c>
      <c r="D228" s="8">
        <v>38.9</v>
      </c>
      <c r="E228" s="8">
        <f>MAX(0, D228-40)</f>
        <v>0</v>
      </c>
      <c r="F228" s="7">
        <f>MIN(D228,40)*C228</f>
        <v>877.19500000000005</v>
      </c>
      <c r="G228" s="9">
        <f>E228 * C228 * 1.5</f>
        <v>0</v>
      </c>
      <c r="H228" s="7">
        <f>F228+G228</f>
        <v>877.19500000000005</v>
      </c>
      <c r="I228" s="7">
        <f>MAX(0,
IF(H228&lt;=800,
H228*0.2,
800*0.2+(H228-800)*0.4
)-70
)</f>
        <v>120.87800000000001</v>
      </c>
      <c r="J228" s="7">
        <f>IF(H228&lt;=231,
H228*0.005,
IF(H228&lt;=693,
231*0.005+(H228-231)*0.02,
231*0.005+462*0.02+(H228-693)*0.045
))</f>
        <v>18.683775000000001</v>
      </c>
      <c r="K228" s="7">
        <f>H228*0.04</f>
        <v>35.087800000000001</v>
      </c>
      <c r="L228" s="7">
        <f>I228+J228+K228</f>
        <v>174.64957500000003</v>
      </c>
      <c r="M228" s="7">
        <f>H228-L228</f>
        <v>702.54542500000002</v>
      </c>
    </row>
    <row r="229" spans="1:13" x14ac:dyDescent="0.3">
      <c r="A229" t="s">
        <v>289</v>
      </c>
      <c r="B229" t="s">
        <v>125</v>
      </c>
      <c r="C229" s="7">
        <v>19.72</v>
      </c>
      <c r="D229" s="8">
        <v>43</v>
      </c>
      <c r="E229" s="8">
        <f>MAX(0, D229-40)</f>
        <v>3</v>
      </c>
      <c r="F229" s="7">
        <f>MIN(D229,40)*C229</f>
        <v>788.8</v>
      </c>
      <c r="G229" s="9">
        <f>E229 * C229 * 1.5</f>
        <v>88.74</v>
      </c>
      <c r="H229" s="7">
        <f>F229+G229</f>
        <v>877.54</v>
      </c>
      <c r="I229" s="7">
        <f>MAX(0,
IF(H229&lt;=800,
H229*0.2,
800*0.2+(H229-800)*0.4
)-70
)</f>
        <v>121.01599999999999</v>
      </c>
      <c r="J229" s="7">
        <f>IF(H229&lt;=231,
H229*0.005,
IF(H229&lt;=693,
231*0.005+(H229-231)*0.02,
231*0.005+462*0.02+(H229-693)*0.045
))</f>
        <v>18.699299999999997</v>
      </c>
      <c r="K229" s="7">
        <f>H229*0.04</f>
        <v>35.101599999999998</v>
      </c>
      <c r="L229" s="7">
        <f>I229+J229+K229</f>
        <v>174.81689999999998</v>
      </c>
      <c r="M229" s="7">
        <f>H229-L229</f>
        <v>702.72309999999993</v>
      </c>
    </row>
    <row r="230" spans="1:13" x14ac:dyDescent="0.3">
      <c r="A230" t="s">
        <v>297</v>
      </c>
      <c r="B230" t="s">
        <v>46</v>
      </c>
      <c r="C230" s="7">
        <v>24.3</v>
      </c>
      <c r="D230" s="8">
        <v>36.200000000000003</v>
      </c>
      <c r="E230" s="8">
        <f>MAX(0, D230-40)</f>
        <v>0</v>
      </c>
      <c r="F230" s="7">
        <f>MIN(D230,40)*C230</f>
        <v>879.66000000000008</v>
      </c>
      <c r="G230" s="9">
        <f>E230 * C230 * 1.5</f>
        <v>0</v>
      </c>
      <c r="H230" s="7">
        <f>F230+G230</f>
        <v>879.66000000000008</v>
      </c>
      <c r="I230" s="7">
        <f>MAX(0,
IF(H230&lt;=800,
H230*0.2,
800*0.2+(H230-800)*0.4
)-70
)</f>
        <v>121.86400000000003</v>
      </c>
      <c r="J230" s="7">
        <f>IF(H230&lt;=231,
H230*0.005,
IF(H230&lt;=693,
231*0.005+(H230-231)*0.02,
231*0.005+462*0.02+(H230-693)*0.045
))</f>
        <v>18.794700000000002</v>
      </c>
      <c r="K230" s="7">
        <f>H230*0.04</f>
        <v>35.186400000000006</v>
      </c>
      <c r="L230" s="7">
        <f>I230+J230+K230</f>
        <v>175.84510000000006</v>
      </c>
      <c r="M230" s="7">
        <f>H230-L230</f>
        <v>703.81490000000008</v>
      </c>
    </row>
    <row r="231" spans="1:13" x14ac:dyDescent="0.3">
      <c r="A231" t="s">
        <v>219</v>
      </c>
      <c r="B231" t="s">
        <v>32</v>
      </c>
      <c r="C231" s="7">
        <v>23.19</v>
      </c>
      <c r="D231" s="8">
        <v>38</v>
      </c>
      <c r="E231" s="8">
        <f>MAX(0, D231-40)</f>
        <v>0</v>
      </c>
      <c r="F231" s="7">
        <f>MIN(D231,40)*C231</f>
        <v>881.22</v>
      </c>
      <c r="G231" s="9">
        <f>E231 * C231 * 1.5</f>
        <v>0</v>
      </c>
      <c r="H231" s="7">
        <f>F231+G231</f>
        <v>881.22</v>
      </c>
      <c r="I231" s="7">
        <f>MAX(0,
IF(H231&lt;=800,
H231*0.2,
800*0.2+(H231-800)*0.4
)-70
)</f>
        <v>122.488</v>
      </c>
      <c r="J231" s="7">
        <f>IF(H231&lt;=231,
H231*0.005,
IF(H231&lt;=693,
231*0.005+(H231-231)*0.02,
231*0.005+462*0.02+(H231-693)*0.045
))</f>
        <v>18.864899999999999</v>
      </c>
      <c r="K231" s="7">
        <f>H231*0.04</f>
        <v>35.248800000000003</v>
      </c>
      <c r="L231" s="7">
        <f>I231+J231+K231</f>
        <v>176.60169999999999</v>
      </c>
      <c r="M231" s="7">
        <f>H231-L231</f>
        <v>704.61830000000009</v>
      </c>
    </row>
    <row r="232" spans="1:13" x14ac:dyDescent="0.3">
      <c r="A232" t="s">
        <v>296</v>
      </c>
      <c r="B232" t="s">
        <v>17</v>
      </c>
      <c r="C232" s="7">
        <v>20.309999999999999</v>
      </c>
      <c r="D232" s="8">
        <v>42.3</v>
      </c>
      <c r="E232" s="8">
        <f>MAX(0, D232-40)</f>
        <v>2.2999999999999972</v>
      </c>
      <c r="F232" s="7">
        <f>MIN(D232,40)*C232</f>
        <v>812.4</v>
      </c>
      <c r="G232" s="9">
        <f>E232 * C232 * 1.5</f>
        <v>70.069499999999906</v>
      </c>
      <c r="H232" s="7">
        <f>F232+G232</f>
        <v>882.46949999999993</v>
      </c>
      <c r="I232" s="7">
        <f>MAX(0,
IF(H232&lt;=800,
H232*0.2,
800*0.2+(H232-800)*0.4
)-70
)</f>
        <v>122.98779999999996</v>
      </c>
      <c r="J232" s="7">
        <f>IF(H232&lt;=231,
H232*0.005,
IF(H232&lt;=693,
231*0.005+(H232-231)*0.02,
231*0.005+462*0.02+(H232-693)*0.045
))</f>
        <v>18.921127499999997</v>
      </c>
      <c r="K232" s="7">
        <f>H232*0.04</f>
        <v>35.298780000000001</v>
      </c>
      <c r="L232" s="7">
        <f>I232+J232+K232</f>
        <v>177.20770749999994</v>
      </c>
      <c r="M232" s="7">
        <f>H232-L232</f>
        <v>705.26179249999996</v>
      </c>
    </row>
    <row r="233" spans="1:13" x14ac:dyDescent="0.3">
      <c r="A233" t="s">
        <v>364</v>
      </c>
      <c r="B233" t="s">
        <v>17</v>
      </c>
      <c r="C233" s="7">
        <v>23.6</v>
      </c>
      <c r="D233" s="8">
        <v>37.5</v>
      </c>
      <c r="E233" s="8">
        <f>MAX(0, D233-40)</f>
        <v>0</v>
      </c>
      <c r="F233" s="7">
        <f>MIN(D233,40)*C233</f>
        <v>885</v>
      </c>
      <c r="G233" s="9">
        <f>E233 * C233 * 1.5</f>
        <v>0</v>
      </c>
      <c r="H233" s="7">
        <f>F233+G233</f>
        <v>885</v>
      </c>
      <c r="I233" s="7">
        <f>MAX(0,
IF(H233&lt;=800,
H233*0.2,
800*0.2+(H233-800)*0.4
)-70
)</f>
        <v>124</v>
      </c>
      <c r="J233" s="7">
        <f>IF(H233&lt;=231,
H233*0.005,
IF(H233&lt;=693,
231*0.005+(H233-231)*0.02,
231*0.005+462*0.02+(H233-693)*0.045
))</f>
        <v>19.035</v>
      </c>
      <c r="K233" s="7">
        <f>H233*0.04</f>
        <v>35.4</v>
      </c>
      <c r="L233" s="7">
        <f>I233+J233+K233</f>
        <v>178.435</v>
      </c>
      <c r="M233" s="7">
        <f>H233-L233</f>
        <v>706.56500000000005</v>
      </c>
    </row>
    <row r="234" spans="1:13" x14ac:dyDescent="0.3">
      <c r="A234" t="s">
        <v>153</v>
      </c>
      <c r="B234" t="s">
        <v>9</v>
      </c>
      <c r="C234" s="7">
        <v>22.33</v>
      </c>
      <c r="D234" s="8">
        <v>39.9</v>
      </c>
      <c r="E234" s="8">
        <f>MAX(0, D234-40)</f>
        <v>0</v>
      </c>
      <c r="F234" s="7">
        <f>MIN(D234,40)*C234</f>
        <v>890.96699999999987</v>
      </c>
      <c r="G234" s="9">
        <f>E234 * C234 * 1.5</f>
        <v>0</v>
      </c>
      <c r="H234" s="7">
        <f>F234+G234</f>
        <v>890.96699999999987</v>
      </c>
      <c r="I234" s="7">
        <f>MAX(0,
IF(H234&lt;=800,
H234*0.2,
800*0.2+(H234-800)*0.4
)-70
)</f>
        <v>126.38679999999994</v>
      </c>
      <c r="J234" s="7">
        <f>IF(H234&lt;=231,
H234*0.005,
IF(H234&lt;=693,
231*0.005+(H234-231)*0.02,
231*0.005+462*0.02+(H234-693)*0.045
))</f>
        <v>19.303514999999994</v>
      </c>
      <c r="K234" s="7">
        <f>H234*0.04</f>
        <v>35.638679999999994</v>
      </c>
      <c r="L234" s="7">
        <f>I234+J234+K234</f>
        <v>181.32899499999994</v>
      </c>
      <c r="M234" s="7">
        <f>H234-L234</f>
        <v>709.63800499999991</v>
      </c>
    </row>
    <row r="235" spans="1:13" x14ac:dyDescent="0.3">
      <c r="A235" t="s">
        <v>76</v>
      </c>
      <c r="B235" t="s">
        <v>19</v>
      </c>
      <c r="C235" s="7">
        <v>24.12</v>
      </c>
      <c r="D235" s="8">
        <v>37</v>
      </c>
      <c r="E235" s="8">
        <f>MAX(0, D235-40)</f>
        <v>0</v>
      </c>
      <c r="F235" s="7">
        <f>MIN(D235,40)*C235</f>
        <v>892.44</v>
      </c>
      <c r="G235" s="9">
        <f>E235 * C235 * 1.5</f>
        <v>0</v>
      </c>
      <c r="H235" s="7">
        <f>F235+G235</f>
        <v>892.44</v>
      </c>
      <c r="I235" s="7">
        <f>MAX(0,
IF(H235&lt;=800,
H235*0.2,
800*0.2+(H235-800)*0.4
)-70
)</f>
        <v>126.97600000000003</v>
      </c>
      <c r="J235" s="7">
        <f>IF(H235&lt;=231,
H235*0.005,
IF(H235&lt;=693,
231*0.005+(H235-231)*0.02,
231*0.005+462*0.02+(H235-693)*0.045
))</f>
        <v>19.369800000000001</v>
      </c>
      <c r="K235" s="7">
        <f>H235*0.04</f>
        <v>35.697600000000001</v>
      </c>
      <c r="L235" s="7">
        <f>I235+J235+K235</f>
        <v>182.04340000000002</v>
      </c>
      <c r="M235" s="7">
        <f>H235-L235</f>
        <v>710.39660000000003</v>
      </c>
    </row>
    <row r="236" spans="1:13" x14ac:dyDescent="0.3">
      <c r="A236" t="s">
        <v>215</v>
      </c>
      <c r="B236" t="s">
        <v>11</v>
      </c>
      <c r="C236" s="7">
        <v>19.420000000000002</v>
      </c>
      <c r="D236" s="8">
        <v>44</v>
      </c>
      <c r="E236" s="8">
        <f>MAX(0, D236-40)</f>
        <v>4</v>
      </c>
      <c r="F236" s="7">
        <f>MIN(D236,40)*C236</f>
        <v>776.80000000000007</v>
      </c>
      <c r="G236" s="9">
        <f>E236 * C236 * 1.5</f>
        <v>116.52000000000001</v>
      </c>
      <c r="H236" s="7">
        <f>F236+G236</f>
        <v>893.32</v>
      </c>
      <c r="I236" s="7">
        <f>MAX(0,
IF(H236&lt;=800,
H236*0.2,
800*0.2+(H236-800)*0.4
)-70
)</f>
        <v>127.32800000000003</v>
      </c>
      <c r="J236" s="7">
        <f>IF(H236&lt;=231,
H236*0.005,
IF(H236&lt;=693,
231*0.005+(H236-231)*0.02,
231*0.005+462*0.02+(H236-693)*0.045
))</f>
        <v>19.409400000000002</v>
      </c>
      <c r="K236" s="7">
        <f>H236*0.04</f>
        <v>35.732800000000005</v>
      </c>
      <c r="L236" s="7">
        <f>I236+J236+K236</f>
        <v>182.47020000000003</v>
      </c>
      <c r="M236" s="7">
        <f>H236-L236</f>
        <v>710.84979999999996</v>
      </c>
    </row>
    <row r="237" spans="1:13" x14ac:dyDescent="0.3">
      <c r="A237" t="s">
        <v>318</v>
      </c>
      <c r="B237" t="s">
        <v>59</v>
      </c>
      <c r="C237" s="7">
        <v>20.94</v>
      </c>
      <c r="D237" s="8">
        <v>41.8</v>
      </c>
      <c r="E237" s="8">
        <f>MAX(0, D237-40)</f>
        <v>1.7999999999999972</v>
      </c>
      <c r="F237" s="7">
        <f>MIN(D237,40)*C237</f>
        <v>837.6</v>
      </c>
      <c r="G237" s="9">
        <f>E237 * C237 * 1.5</f>
        <v>56.537999999999911</v>
      </c>
      <c r="H237" s="7">
        <f>F237+G237</f>
        <v>894.13799999999992</v>
      </c>
      <c r="I237" s="7">
        <f>MAX(0,
IF(H237&lt;=800,
H237*0.2,
800*0.2+(H237-800)*0.4
)-70
)</f>
        <v>127.65519999999998</v>
      </c>
      <c r="J237" s="7">
        <f>IF(H237&lt;=231,
H237*0.005,
IF(H237&lt;=693,
231*0.005+(H237-231)*0.02,
231*0.005+462*0.02+(H237-693)*0.045
))</f>
        <v>19.446209999999994</v>
      </c>
      <c r="K237" s="7">
        <f>H237*0.04</f>
        <v>35.765519999999995</v>
      </c>
      <c r="L237" s="7">
        <f>I237+J237+K237</f>
        <v>182.86692999999997</v>
      </c>
      <c r="M237" s="7">
        <f>H237-L237</f>
        <v>711.27107000000001</v>
      </c>
    </row>
    <row r="238" spans="1:13" x14ac:dyDescent="0.3">
      <c r="A238" t="s">
        <v>479</v>
      </c>
      <c r="B238" t="s">
        <v>101</v>
      </c>
      <c r="C238" s="7">
        <v>20.39</v>
      </c>
      <c r="D238" s="8">
        <v>42.6</v>
      </c>
      <c r="E238" s="8">
        <f>MAX(0, D238-40)</f>
        <v>2.6000000000000014</v>
      </c>
      <c r="F238" s="7">
        <f>MIN(D238,40)*C238</f>
        <v>815.6</v>
      </c>
      <c r="G238" s="9">
        <f>E238 * C238 * 1.5</f>
        <v>79.521000000000043</v>
      </c>
      <c r="H238" s="7">
        <f>F238+G238</f>
        <v>895.12100000000009</v>
      </c>
      <c r="I238" s="7">
        <f>MAX(0,
IF(H238&lt;=800,
H238*0.2,
800*0.2+(H238-800)*0.4
)-70
)</f>
        <v>128.04840000000004</v>
      </c>
      <c r="J238" s="7">
        <f>IF(H238&lt;=231,
H238*0.005,
IF(H238&lt;=693,
231*0.005+(H238-231)*0.02,
231*0.005+462*0.02+(H238-693)*0.045
))</f>
        <v>19.490445000000001</v>
      </c>
      <c r="K238" s="7">
        <f>H238*0.04</f>
        <v>35.804840000000006</v>
      </c>
      <c r="L238" s="7">
        <f>I238+J238+K238</f>
        <v>183.34368500000005</v>
      </c>
      <c r="M238" s="7">
        <f>H238-L238</f>
        <v>711.77731500000004</v>
      </c>
    </row>
    <row r="239" spans="1:13" x14ac:dyDescent="0.3">
      <c r="A239" t="s">
        <v>331</v>
      </c>
      <c r="B239" t="s">
        <v>145</v>
      </c>
      <c r="C239" s="7">
        <v>24.46</v>
      </c>
      <c r="D239" s="8">
        <v>36.6</v>
      </c>
      <c r="E239" s="8">
        <f>MAX(0, D239-40)</f>
        <v>0</v>
      </c>
      <c r="F239" s="7">
        <f>MIN(D239,40)*C239</f>
        <v>895.2360000000001</v>
      </c>
      <c r="G239" s="9">
        <f>E239 * C239 * 1.5</f>
        <v>0</v>
      </c>
      <c r="H239" s="7">
        <f>F239+G239</f>
        <v>895.2360000000001</v>
      </c>
      <c r="I239" s="7">
        <f>MAX(0,
IF(H239&lt;=800,
H239*0.2,
800*0.2+(H239-800)*0.4
)-70
)</f>
        <v>128.09440000000004</v>
      </c>
      <c r="J239" s="7">
        <f>IF(H239&lt;=231,
H239*0.005,
IF(H239&lt;=693,
231*0.005+(H239-231)*0.02,
231*0.005+462*0.02+(H239-693)*0.045
))</f>
        <v>19.495620000000002</v>
      </c>
      <c r="K239" s="7">
        <f>H239*0.04</f>
        <v>35.809440000000002</v>
      </c>
      <c r="L239" s="7">
        <f>I239+J239+K239</f>
        <v>183.39946000000003</v>
      </c>
      <c r="M239" s="7">
        <f>H239-L239</f>
        <v>711.83654000000001</v>
      </c>
    </row>
    <row r="240" spans="1:13" x14ac:dyDescent="0.3">
      <c r="A240" t="s">
        <v>279</v>
      </c>
      <c r="B240" t="s">
        <v>29</v>
      </c>
      <c r="C240" s="7">
        <v>21.12</v>
      </c>
      <c r="D240" s="8">
        <v>41.6</v>
      </c>
      <c r="E240" s="8">
        <f>MAX(0, D240-40)</f>
        <v>1.6000000000000014</v>
      </c>
      <c r="F240" s="7">
        <f>MIN(D240,40)*C240</f>
        <v>844.80000000000007</v>
      </c>
      <c r="G240" s="9">
        <f>E240 * C240 * 1.5</f>
        <v>50.688000000000045</v>
      </c>
      <c r="H240" s="7">
        <f>F240+G240</f>
        <v>895.48800000000006</v>
      </c>
      <c r="I240" s="7">
        <f>MAX(0,
IF(H240&lt;=800,
H240*0.2,
800*0.2+(H240-800)*0.4
)-70
)</f>
        <v>128.19520000000003</v>
      </c>
      <c r="J240" s="7">
        <f>IF(H240&lt;=231,
H240*0.005,
IF(H240&lt;=693,
231*0.005+(H240-231)*0.02,
231*0.005+462*0.02+(H240-693)*0.045
))</f>
        <v>19.506959999999999</v>
      </c>
      <c r="K240" s="7">
        <f>H240*0.04</f>
        <v>35.819520000000004</v>
      </c>
      <c r="L240" s="7">
        <f>I240+J240+K240</f>
        <v>183.52168000000003</v>
      </c>
      <c r="M240" s="7">
        <f>H240-L240</f>
        <v>711.96632</v>
      </c>
    </row>
    <row r="241" spans="1:13" x14ac:dyDescent="0.3">
      <c r="A241" t="s">
        <v>97</v>
      </c>
      <c r="B241" t="s">
        <v>29</v>
      </c>
      <c r="C241" s="7">
        <v>25.39</v>
      </c>
      <c r="D241" s="8">
        <v>35.299999999999997</v>
      </c>
      <c r="E241" s="8">
        <f>MAX(0, D241-40)</f>
        <v>0</v>
      </c>
      <c r="F241" s="7">
        <f>MIN(D241,40)*C241</f>
        <v>896.26699999999994</v>
      </c>
      <c r="G241" s="9">
        <f>E241 * C241 * 1.5</f>
        <v>0</v>
      </c>
      <c r="H241" s="7">
        <f>F241+G241</f>
        <v>896.26699999999994</v>
      </c>
      <c r="I241" s="7">
        <f>MAX(0,
IF(H241&lt;=800,
H241*0.2,
800*0.2+(H241-800)*0.4
)-70
)</f>
        <v>128.50679999999997</v>
      </c>
      <c r="J241" s="7">
        <f>IF(H241&lt;=231,
H241*0.005,
IF(H241&lt;=693,
231*0.005+(H241-231)*0.02,
231*0.005+462*0.02+(H241-693)*0.045
))</f>
        <v>19.542014999999996</v>
      </c>
      <c r="K241" s="7">
        <f>H241*0.04</f>
        <v>35.850679999999997</v>
      </c>
      <c r="L241" s="7">
        <f>I241+J241+K241</f>
        <v>183.89949499999994</v>
      </c>
      <c r="M241" s="7">
        <f>H241-L241</f>
        <v>712.36750499999994</v>
      </c>
    </row>
    <row r="242" spans="1:13" x14ac:dyDescent="0.3">
      <c r="A242" t="s">
        <v>192</v>
      </c>
      <c r="B242" t="s">
        <v>57</v>
      </c>
      <c r="C242" s="7">
        <v>20.49</v>
      </c>
      <c r="D242" s="8">
        <v>42.6</v>
      </c>
      <c r="E242" s="8">
        <f>MAX(0, D242-40)</f>
        <v>2.6000000000000014</v>
      </c>
      <c r="F242" s="7">
        <f>MIN(D242,40)*C242</f>
        <v>819.59999999999991</v>
      </c>
      <c r="G242" s="9">
        <f>E242 * C242 * 1.5</f>
        <v>79.91100000000003</v>
      </c>
      <c r="H242" s="7">
        <f>F242+G242</f>
        <v>899.51099999999997</v>
      </c>
      <c r="I242" s="7">
        <f>MAX(0,
IF(H242&lt;=800,
H242*0.2,
800*0.2+(H242-800)*0.4
)-70
)</f>
        <v>129.80439999999999</v>
      </c>
      <c r="J242" s="7">
        <f>IF(H242&lt;=231,
H242*0.005,
IF(H242&lt;=693,
231*0.005+(H242-231)*0.02,
231*0.005+462*0.02+(H242-693)*0.045
))</f>
        <v>19.687994999999997</v>
      </c>
      <c r="K242" s="7">
        <f>H242*0.04</f>
        <v>35.980440000000002</v>
      </c>
      <c r="L242" s="7">
        <f>I242+J242+K242</f>
        <v>185.47283499999998</v>
      </c>
      <c r="M242" s="7">
        <f>H242-L242</f>
        <v>714.03816499999994</v>
      </c>
    </row>
    <row r="243" spans="1:13" x14ac:dyDescent="0.3">
      <c r="A243" t="s">
        <v>358</v>
      </c>
      <c r="B243" t="s">
        <v>21</v>
      </c>
      <c r="C243" s="7">
        <v>21.08</v>
      </c>
      <c r="D243" s="8">
        <v>41.8</v>
      </c>
      <c r="E243" s="8">
        <f>MAX(0, D243-40)</f>
        <v>1.7999999999999972</v>
      </c>
      <c r="F243" s="7">
        <f>MIN(D243,40)*C243</f>
        <v>843.19999999999993</v>
      </c>
      <c r="G243" s="9">
        <f>E243 * C243 * 1.5</f>
        <v>56.915999999999912</v>
      </c>
      <c r="H243" s="7">
        <f>F243+G243</f>
        <v>900.11599999999987</v>
      </c>
      <c r="I243" s="7">
        <f>MAX(0,
IF(H243&lt;=800,
H243*0.2,
800*0.2+(H243-800)*0.4
)-70
)</f>
        <v>130.04639999999995</v>
      </c>
      <c r="J243" s="7">
        <f>IF(H243&lt;=231,
H243*0.005,
IF(H243&lt;=693,
231*0.005+(H243-231)*0.02,
231*0.005+462*0.02+(H243-693)*0.045
))</f>
        <v>19.715219999999995</v>
      </c>
      <c r="K243" s="7">
        <f>H243*0.04</f>
        <v>36.004639999999995</v>
      </c>
      <c r="L243" s="7">
        <f>I243+J243+K243</f>
        <v>185.76625999999993</v>
      </c>
      <c r="M243" s="7">
        <f>H243-L243</f>
        <v>714.34973999999988</v>
      </c>
    </row>
    <row r="244" spans="1:13" x14ac:dyDescent="0.3">
      <c r="A244" t="s">
        <v>463</v>
      </c>
      <c r="B244" t="s">
        <v>43</v>
      </c>
      <c r="C244" s="7">
        <v>22.41</v>
      </c>
      <c r="D244" s="8">
        <v>40.200000000000003</v>
      </c>
      <c r="E244" s="8">
        <f>MAX(0, D244-40)</f>
        <v>0.20000000000000284</v>
      </c>
      <c r="F244" s="7">
        <f>MIN(D244,40)*C244</f>
        <v>896.4</v>
      </c>
      <c r="G244" s="9">
        <f>E244 * C244 * 1.5</f>
        <v>6.7230000000000967</v>
      </c>
      <c r="H244" s="7">
        <f>F244+G244</f>
        <v>903.12300000000005</v>
      </c>
      <c r="I244" s="7">
        <f>MAX(0,
IF(H244&lt;=800,
H244*0.2,
800*0.2+(H244-800)*0.4
)-70
)</f>
        <v>131.24920000000003</v>
      </c>
      <c r="J244" s="7">
        <f>IF(H244&lt;=231,
H244*0.005,
IF(H244&lt;=693,
231*0.005+(H244-231)*0.02,
231*0.005+462*0.02+(H244-693)*0.045
))</f>
        <v>19.850535000000001</v>
      </c>
      <c r="K244" s="7">
        <f>H244*0.04</f>
        <v>36.124920000000003</v>
      </c>
      <c r="L244" s="7">
        <f>I244+J244+K244</f>
        <v>187.22465500000004</v>
      </c>
      <c r="M244" s="7">
        <f>H244-L244</f>
        <v>715.89834500000006</v>
      </c>
    </row>
    <row r="245" spans="1:13" x14ac:dyDescent="0.3">
      <c r="A245" t="s">
        <v>370</v>
      </c>
      <c r="B245" t="s">
        <v>55</v>
      </c>
      <c r="C245" s="7">
        <v>25.52</v>
      </c>
      <c r="D245" s="8">
        <v>35.5</v>
      </c>
      <c r="E245" s="8">
        <f>MAX(0, D245-40)</f>
        <v>0</v>
      </c>
      <c r="F245" s="7">
        <f>MIN(D245,40)*C245</f>
        <v>905.96</v>
      </c>
      <c r="G245" s="9">
        <f>E245 * C245 * 1.5</f>
        <v>0</v>
      </c>
      <c r="H245" s="7">
        <f>F245+G245</f>
        <v>905.96</v>
      </c>
      <c r="I245" s="7">
        <f>MAX(0,
IF(H245&lt;=800,
H245*0.2,
800*0.2+(H245-800)*0.4
)-70
)</f>
        <v>132.38400000000001</v>
      </c>
      <c r="J245" s="7">
        <f>IF(H245&lt;=231,
H245*0.005,
IF(H245&lt;=693,
231*0.005+(H245-231)*0.02,
231*0.005+462*0.02+(H245-693)*0.045
))</f>
        <v>19.978200000000001</v>
      </c>
      <c r="K245" s="7">
        <f>H245*0.04</f>
        <v>36.238400000000006</v>
      </c>
      <c r="L245" s="7">
        <f>I245+J245+K245</f>
        <v>188.60060000000004</v>
      </c>
      <c r="M245" s="7">
        <f>H245-L245</f>
        <v>717.35940000000005</v>
      </c>
    </row>
    <row r="246" spans="1:13" x14ac:dyDescent="0.3">
      <c r="A246" t="s">
        <v>207</v>
      </c>
      <c r="B246" t="s">
        <v>11</v>
      </c>
      <c r="C246" s="7">
        <v>23.8</v>
      </c>
      <c r="D246" s="8">
        <v>38.1</v>
      </c>
      <c r="E246" s="8">
        <f>MAX(0, D246-40)</f>
        <v>0</v>
      </c>
      <c r="F246" s="7">
        <f>MIN(D246,40)*C246</f>
        <v>906.78000000000009</v>
      </c>
      <c r="G246" s="9">
        <f>E246 * C246 * 1.5</f>
        <v>0</v>
      </c>
      <c r="H246" s="7">
        <f>F246+G246</f>
        <v>906.78000000000009</v>
      </c>
      <c r="I246" s="7">
        <f>MAX(0,
IF(H246&lt;=800,
H246*0.2,
800*0.2+(H246-800)*0.4
)-70
)</f>
        <v>132.71200000000005</v>
      </c>
      <c r="J246" s="7">
        <f>IF(H246&lt;=231,
H246*0.005,
IF(H246&lt;=693,
231*0.005+(H246-231)*0.02,
231*0.005+462*0.02+(H246-693)*0.045
))</f>
        <v>20.015100000000004</v>
      </c>
      <c r="K246" s="7">
        <f>H246*0.04</f>
        <v>36.271200000000007</v>
      </c>
      <c r="L246" s="7">
        <f>I246+J246+K246</f>
        <v>188.99830000000009</v>
      </c>
      <c r="M246" s="7">
        <f>H246-L246</f>
        <v>717.7817</v>
      </c>
    </row>
    <row r="247" spans="1:13" x14ac:dyDescent="0.3">
      <c r="A247" t="s">
        <v>273</v>
      </c>
      <c r="B247" t="s">
        <v>21</v>
      </c>
      <c r="C247" s="7">
        <v>23.2</v>
      </c>
      <c r="D247" s="8">
        <v>39.299999999999997</v>
      </c>
      <c r="E247" s="8">
        <f>MAX(0, D247-40)</f>
        <v>0</v>
      </c>
      <c r="F247" s="7">
        <f>MIN(D247,40)*C247</f>
        <v>911.75999999999988</v>
      </c>
      <c r="G247" s="9">
        <f>E247 * C247 * 1.5</f>
        <v>0</v>
      </c>
      <c r="H247" s="7">
        <f>F247+G247</f>
        <v>911.75999999999988</v>
      </c>
      <c r="I247" s="7">
        <f>MAX(0,
IF(H247&lt;=800,
H247*0.2,
800*0.2+(H247-800)*0.4
)-70
)</f>
        <v>134.70399999999995</v>
      </c>
      <c r="J247" s="7">
        <f>IF(H247&lt;=231,
H247*0.005,
IF(H247&lt;=693,
231*0.005+(H247-231)*0.02,
231*0.005+462*0.02+(H247-693)*0.045
))</f>
        <v>20.239199999999993</v>
      </c>
      <c r="K247" s="7">
        <f>H247*0.04</f>
        <v>36.470399999999998</v>
      </c>
      <c r="L247" s="7">
        <f>I247+J247+K247</f>
        <v>191.41359999999992</v>
      </c>
      <c r="M247" s="7">
        <f>H247-L247</f>
        <v>720.3463999999999</v>
      </c>
    </row>
    <row r="248" spans="1:13" x14ac:dyDescent="0.3">
      <c r="A248" t="s">
        <v>34</v>
      </c>
      <c r="B248" t="s">
        <v>19</v>
      </c>
      <c r="C248" s="7">
        <v>23.29</v>
      </c>
      <c r="D248" s="8">
        <v>39.299999999999997</v>
      </c>
      <c r="E248" s="8">
        <f>MAX(0, D248-40)</f>
        <v>0</v>
      </c>
      <c r="F248" s="7">
        <f>MIN(D248,40)*C248</f>
        <v>915.29699999999991</v>
      </c>
      <c r="G248" s="9">
        <f>E248 * C248 * 1.5</f>
        <v>0</v>
      </c>
      <c r="H248" s="7">
        <f>F248+G248</f>
        <v>915.29699999999991</v>
      </c>
      <c r="I248" s="7">
        <f>MAX(0,
IF(H248&lt;=800,
H248*0.2,
800*0.2+(H248-800)*0.4
)-70
)</f>
        <v>136.11879999999996</v>
      </c>
      <c r="J248" s="7">
        <f>IF(H248&lt;=231,
H248*0.005,
IF(H248&lt;=693,
231*0.005+(H248-231)*0.02,
231*0.005+462*0.02+(H248-693)*0.045
))</f>
        <v>20.398364999999995</v>
      </c>
      <c r="K248" s="7">
        <f>H248*0.04</f>
        <v>36.611879999999999</v>
      </c>
      <c r="L248" s="7">
        <f>I248+J248+K248</f>
        <v>193.12904499999996</v>
      </c>
      <c r="M248" s="7">
        <f>H248-L248</f>
        <v>722.16795499999989</v>
      </c>
    </row>
    <row r="249" spans="1:13" x14ac:dyDescent="0.3">
      <c r="A249" t="s">
        <v>131</v>
      </c>
      <c r="B249" t="s">
        <v>57</v>
      </c>
      <c r="C249" s="7">
        <v>21.59</v>
      </c>
      <c r="D249" s="8">
        <v>41.6</v>
      </c>
      <c r="E249" s="8">
        <f>MAX(0, D249-40)</f>
        <v>1.6000000000000014</v>
      </c>
      <c r="F249" s="7">
        <f>MIN(D249,40)*C249</f>
        <v>863.6</v>
      </c>
      <c r="G249" s="9">
        <f>E249 * C249 * 1.5</f>
        <v>51.816000000000045</v>
      </c>
      <c r="H249" s="7">
        <f>F249+G249</f>
        <v>915.41600000000005</v>
      </c>
      <c r="I249" s="7">
        <f>MAX(0,
IF(H249&lt;=800,
H249*0.2,
800*0.2+(H249-800)*0.4
)-70
)</f>
        <v>136.16640000000001</v>
      </c>
      <c r="J249" s="7">
        <f>IF(H249&lt;=231,
H249*0.005,
IF(H249&lt;=693,
231*0.005+(H249-231)*0.02,
231*0.005+462*0.02+(H249-693)*0.045
))</f>
        <v>20.40372</v>
      </c>
      <c r="K249" s="7">
        <f>H249*0.04</f>
        <v>36.616640000000004</v>
      </c>
      <c r="L249" s="7">
        <f>I249+J249+K249</f>
        <v>193.18675999999999</v>
      </c>
      <c r="M249" s="7">
        <f>H249-L249</f>
        <v>722.22924000000012</v>
      </c>
    </row>
    <row r="250" spans="1:13" x14ac:dyDescent="0.3">
      <c r="A250" t="s">
        <v>136</v>
      </c>
      <c r="B250" t="s">
        <v>59</v>
      </c>
      <c r="C250" s="7">
        <v>21.9</v>
      </c>
      <c r="D250" s="8">
        <v>41.2</v>
      </c>
      <c r="E250" s="8">
        <f>MAX(0, D250-40)</f>
        <v>1.2000000000000028</v>
      </c>
      <c r="F250" s="7">
        <f>MIN(D250,40)*C250</f>
        <v>876</v>
      </c>
      <c r="G250" s="9">
        <f>E250 * C250 * 1.5</f>
        <v>39.420000000000094</v>
      </c>
      <c r="H250" s="7">
        <f>F250+G250</f>
        <v>915.42000000000007</v>
      </c>
      <c r="I250" s="7">
        <f>MAX(0,
IF(H250&lt;=800,
H250*0.2,
800*0.2+(H250-800)*0.4
)-70
)</f>
        <v>136.16800000000003</v>
      </c>
      <c r="J250" s="7">
        <f>IF(H250&lt;=231,
H250*0.005,
IF(H250&lt;=693,
231*0.005+(H250-231)*0.02,
231*0.005+462*0.02+(H250-693)*0.045
))</f>
        <v>20.4039</v>
      </c>
      <c r="K250" s="7">
        <f>H250*0.04</f>
        <v>36.616800000000005</v>
      </c>
      <c r="L250" s="7">
        <f>I250+J250+K250</f>
        <v>193.18870000000004</v>
      </c>
      <c r="M250" s="7">
        <f>H250-L250</f>
        <v>722.23130000000003</v>
      </c>
    </row>
    <row r="251" spans="1:13" x14ac:dyDescent="0.3">
      <c r="A251" t="s">
        <v>124</v>
      </c>
      <c r="B251" t="s">
        <v>125</v>
      </c>
      <c r="C251" s="7">
        <v>23.37</v>
      </c>
      <c r="D251" s="8">
        <v>39.200000000000003</v>
      </c>
      <c r="E251" s="8">
        <f>MAX(0, D251-40)</f>
        <v>0</v>
      </c>
      <c r="F251" s="7">
        <f>MIN(D251,40)*C251</f>
        <v>916.10400000000016</v>
      </c>
      <c r="G251" s="9">
        <f>E251 * C251 * 1.5</f>
        <v>0</v>
      </c>
      <c r="H251" s="7">
        <f>F251+G251</f>
        <v>916.10400000000016</v>
      </c>
      <c r="I251" s="7">
        <f>MAX(0,
IF(H251&lt;=800,
H251*0.2,
800*0.2+(H251-800)*0.4
)-70
)</f>
        <v>136.44160000000005</v>
      </c>
      <c r="J251" s="7">
        <f>IF(H251&lt;=231,
H251*0.005,
IF(H251&lt;=693,
231*0.005+(H251-231)*0.02,
231*0.005+462*0.02+(H251-693)*0.045
))</f>
        <v>20.434680000000007</v>
      </c>
      <c r="K251" s="7">
        <f>H251*0.04</f>
        <v>36.644160000000007</v>
      </c>
      <c r="L251" s="7">
        <f>I251+J251+K251</f>
        <v>193.52044000000006</v>
      </c>
      <c r="M251" s="7">
        <f>H251-L251</f>
        <v>722.58356000000003</v>
      </c>
    </row>
    <row r="252" spans="1:13" x14ac:dyDescent="0.3">
      <c r="A252" t="s">
        <v>75</v>
      </c>
      <c r="B252" t="s">
        <v>9</v>
      </c>
      <c r="C252" s="7">
        <v>25.61</v>
      </c>
      <c r="D252" s="8">
        <v>35.799999999999997</v>
      </c>
      <c r="E252" s="8">
        <f>MAX(0, D252-40)</f>
        <v>0</v>
      </c>
      <c r="F252" s="7">
        <f>MIN(D252,40)*C252</f>
        <v>916.83799999999985</v>
      </c>
      <c r="G252" s="9">
        <f>E252 * C252 * 1.5</f>
        <v>0</v>
      </c>
      <c r="H252" s="7">
        <f>F252+G252</f>
        <v>916.83799999999985</v>
      </c>
      <c r="I252" s="7">
        <f>MAX(0,
IF(H252&lt;=800,
H252*0.2,
800*0.2+(H252-800)*0.4
)-70
)</f>
        <v>136.73519999999994</v>
      </c>
      <c r="J252" s="7">
        <f>IF(H252&lt;=231,
H252*0.005,
IF(H252&lt;=693,
231*0.005+(H252-231)*0.02,
231*0.005+462*0.02+(H252-693)*0.045
))</f>
        <v>20.467709999999993</v>
      </c>
      <c r="K252" s="7">
        <f>H252*0.04</f>
        <v>36.673519999999996</v>
      </c>
      <c r="L252" s="7">
        <f>I252+J252+K252</f>
        <v>193.87642999999991</v>
      </c>
      <c r="M252" s="7">
        <f>H252-L252</f>
        <v>722.96156999999994</v>
      </c>
    </row>
    <row r="253" spans="1:13" x14ac:dyDescent="0.3">
      <c r="A253" t="s">
        <v>386</v>
      </c>
      <c r="B253" t="s">
        <v>32</v>
      </c>
      <c r="C253" s="7">
        <v>25.27</v>
      </c>
      <c r="D253" s="8">
        <v>36.299999999999997</v>
      </c>
      <c r="E253" s="8">
        <f>MAX(0, D253-40)</f>
        <v>0</v>
      </c>
      <c r="F253" s="7">
        <f>MIN(D253,40)*C253</f>
        <v>917.30099999999993</v>
      </c>
      <c r="G253" s="9">
        <f>E253 * C253 * 1.5</f>
        <v>0</v>
      </c>
      <c r="H253" s="7">
        <f>F253+G253</f>
        <v>917.30099999999993</v>
      </c>
      <c r="I253" s="7">
        <f>MAX(0,
IF(H253&lt;=800,
H253*0.2,
800*0.2+(H253-800)*0.4
)-70
)</f>
        <v>136.92039999999997</v>
      </c>
      <c r="J253" s="7">
        <f>IF(H253&lt;=231,
H253*0.005,
IF(H253&lt;=693,
231*0.005+(H253-231)*0.02,
231*0.005+462*0.02+(H253-693)*0.045
))</f>
        <v>20.488544999999995</v>
      </c>
      <c r="K253" s="7">
        <f>H253*0.04</f>
        <v>36.692039999999999</v>
      </c>
      <c r="L253" s="7">
        <f>I253+J253+K253</f>
        <v>194.10098499999995</v>
      </c>
      <c r="M253" s="7">
        <f>H253-L253</f>
        <v>723.20001500000001</v>
      </c>
    </row>
    <row r="254" spans="1:13" x14ac:dyDescent="0.3">
      <c r="A254" t="s">
        <v>91</v>
      </c>
      <c r="B254" t="s">
        <v>37</v>
      </c>
      <c r="C254" s="7">
        <v>19.47</v>
      </c>
      <c r="D254" s="8">
        <v>44.8</v>
      </c>
      <c r="E254" s="8">
        <f>MAX(0, D254-40)</f>
        <v>4.7999999999999972</v>
      </c>
      <c r="F254" s="7">
        <f>MIN(D254,40)*C254</f>
        <v>778.8</v>
      </c>
      <c r="G254" s="9">
        <f>E254 * C254 * 1.5</f>
        <v>140.18399999999991</v>
      </c>
      <c r="H254" s="7">
        <f>F254+G254</f>
        <v>918.98399999999992</v>
      </c>
      <c r="I254" s="7">
        <f>MAX(0,
IF(H254&lt;=800,
H254*0.2,
800*0.2+(H254-800)*0.4
)-70
)</f>
        <v>137.59359999999998</v>
      </c>
      <c r="J254" s="7">
        <f>IF(H254&lt;=231,
H254*0.005,
IF(H254&lt;=693,
231*0.005+(H254-231)*0.02,
231*0.005+462*0.02+(H254-693)*0.045
))</f>
        <v>20.564279999999997</v>
      </c>
      <c r="K254" s="7">
        <f>H254*0.04</f>
        <v>36.759360000000001</v>
      </c>
      <c r="L254" s="7">
        <f>I254+J254+K254</f>
        <v>194.91723999999999</v>
      </c>
      <c r="M254" s="7">
        <f>H254-L254</f>
        <v>724.06675999999993</v>
      </c>
    </row>
    <row r="255" spans="1:13" x14ac:dyDescent="0.3">
      <c r="A255" t="s">
        <v>322</v>
      </c>
      <c r="B255" t="s">
        <v>13</v>
      </c>
      <c r="C255" s="7">
        <v>21.41</v>
      </c>
      <c r="D255" s="8">
        <v>42.1</v>
      </c>
      <c r="E255" s="8">
        <f>MAX(0, D255-40)</f>
        <v>2.1000000000000014</v>
      </c>
      <c r="F255" s="7">
        <f>MIN(D255,40)*C255</f>
        <v>856.4</v>
      </c>
      <c r="G255" s="9">
        <f>E255 * C255 * 1.5</f>
        <v>67.441500000000048</v>
      </c>
      <c r="H255" s="7">
        <f>F255+G255</f>
        <v>923.8415</v>
      </c>
      <c r="I255" s="7">
        <f>MAX(0,
IF(H255&lt;=800,
H255*0.2,
800*0.2+(H255-800)*0.4
)-70
)</f>
        <v>139.53659999999999</v>
      </c>
      <c r="J255" s="7">
        <f>IF(H255&lt;=231,
H255*0.005,
IF(H255&lt;=693,
231*0.005+(H255-231)*0.02,
231*0.005+462*0.02+(H255-693)*0.045
))</f>
        <v>20.782867499999998</v>
      </c>
      <c r="K255" s="7">
        <f>H255*0.04</f>
        <v>36.953659999999999</v>
      </c>
      <c r="L255" s="7">
        <f>I255+J255+K255</f>
        <v>197.27312749999999</v>
      </c>
      <c r="M255" s="7">
        <f>H255-L255</f>
        <v>726.56837250000001</v>
      </c>
    </row>
    <row r="256" spans="1:13" x14ac:dyDescent="0.3">
      <c r="A256" t="s">
        <v>10</v>
      </c>
      <c r="B256" t="s">
        <v>11</v>
      </c>
      <c r="C256" s="7">
        <v>22.35</v>
      </c>
      <c r="D256" s="8">
        <v>40.9</v>
      </c>
      <c r="E256" s="8">
        <f>MAX(0, D256-40)</f>
        <v>0.89999999999999858</v>
      </c>
      <c r="F256" s="7">
        <f>MIN(D256,40)*C256</f>
        <v>894</v>
      </c>
      <c r="G256" s="9">
        <f>E256 * C256 * 1.5</f>
        <v>30.172499999999957</v>
      </c>
      <c r="H256" s="7">
        <f>F256+G256</f>
        <v>924.1724999999999</v>
      </c>
      <c r="I256" s="7">
        <f>MAX(0,
IF(H256&lt;=800,
H256*0.2,
800*0.2+(H256-800)*0.4
)-70
)</f>
        <v>139.66899999999995</v>
      </c>
      <c r="J256" s="7">
        <f>IF(H256&lt;=231,
H256*0.005,
IF(H256&lt;=693,
231*0.005+(H256-231)*0.02,
231*0.005+462*0.02+(H256-693)*0.045
))</f>
        <v>20.797762499999994</v>
      </c>
      <c r="K256" s="7">
        <f>H256*0.04</f>
        <v>36.966899999999995</v>
      </c>
      <c r="L256" s="7">
        <f>I256+J256+K256</f>
        <v>197.43366249999997</v>
      </c>
      <c r="M256" s="7">
        <f>H256-L256</f>
        <v>726.73883749999993</v>
      </c>
    </row>
    <row r="257" spans="1:13" x14ac:dyDescent="0.3">
      <c r="A257" t="s">
        <v>308</v>
      </c>
      <c r="B257" t="s">
        <v>29</v>
      </c>
      <c r="C257" s="7">
        <v>26.14</v>
      </c>
      <c r="D257" s="8">
        <v>35.4</v>
      </c>
      <c r="E257" s="8">
        <f>MAX(0, D257-40)</f>
        <v>0</v>
      </c>
      <c r="F257" s="7">
        <f>MIN(D257,40)*C257</f>
        <v>925.35599999999999</v>
      </c>
      <c r="G257" s="9">
        <f>E257 * C257 * 1.5</f>
        <v>0</v>
      </c>
      <c r="H257" s="7">
        <f>F257+G257</f>
        <v>925.35599999999999</v>
      </c>
      <c r="I257" s="7">
        <f>MAX(0,
IF(H257&lt;=800,
H257*0.2,
800*0.2+(H257-800)*0.4
)-70
)</f>
        <v>140.14240000000001</v>
      </c>
      <c r="J257" s="7">
        <f>IF(H257&lt;=231,
H257*0.005,
IF(H257&lt;=693,
231*0.005+(H257-231)*0.02,
231*0.005+462*0.02+(H257-693)*0.045
))</f>
        <v>20.851019999999998</v>
      </c>
      <c r="K257" s="7">
        <f>H257*0.04</f>
        <v>37.014240000000001</v>
      </c>
      <c r="L257" s="7">
        <f>I257+J257+K257</f>
        <v>198.00766000000002</v>
      </c>
      <c r="M257" s="7">
        <f>H257-L257</f>
        <v>727.34834000000001</v>
      </c>
    </row>
    <row r="258" spans="1:13" x14ac:dyDescent="0.3">
      <c r="A258" t="s">
        <v>80</v>
      </c>
      <c r="B258" t="s">
        <v>23</v>
      </c>
      <c r="C258" s="7">
        <v>23.59</v>
      </c>
      <c r="D258" s="8">
        <v>39.4</v>
      </c>
      <c r="E258" s="8">
        <f>MAX(0, D258-40)</f>
        <v>0</v>
      </c>
      <c r="F258" s="7">
        <f>MIN(D258,40)*C258</f>
        <v>929.44599999999991</v>
      </c>
      <c r="G258" s="9">
        <f>E258 * C258 * 1.5</f>
        <v>0</v>
      </c>
      <c r="H258" s="7">
        <f>F258+G258</f>
        <v>929.44599999999991</v>
      </c>
      <c r="I258" s="7">
        <f>MAX(0,
IF(H258&lt;=800,
H258*0.2,
800*0.2+(H258-800)*0.4
)-70
)</f>
        <v>141.77839999999998</v>
      </c>
      <c r="J258" s="7">
        <f>IF(H258&lt;=231,
H258*0.005,
IF(H258&lt;=693,
231*0.005+(H258-231)*0.02,
231*0.005+462*0.02+(H258-693)*0.045
))</f>
        <v>21.035069999999997</v>
      </c>
      <c r="K258" s="7">
        <f>H258*0.04</f>
        <v>37.177839999999996</v>
      </c>
      <c r="L258" s="7">
        <f>I258+J258+K258</f>
        <v>199.99130999999997</v>
      </c>
      <c r="M258" s="7">
        <f>H258-L258</f>
        <v>729.45468999999991</v>
      </c>
    </row>
    <row r="259" spans="1:13" x14ac:dyDescent="0.3">
      <c r="A259" t="s">
        <v>47</v>
      </c>
      <c r="B259" t="s">
        <v>17</v>
      </c>
      <c r="C259" s="7">
        <v>20.98</v>
      </c>
      <c r="D259" s="8">
        <v>42.9</v>
      </c>
      <c r="E259" s="8">
        <f>MAX(0, D259-40)</f>
        <v>2.8999999999999986</v>
      </c>
      <c r="F259" s="7">
        <f>MIN(D259,40)*C259</f>
        <v>839.2</v>
      </c>
      <c r="G259" s="9">
        <f>E259 * C259 * 1.5</f>
        <v>91.262999999999948</v>
      </c>
      <c r="H259" s="7">
        <f>F259+G259</f>
        <v>930.46299999999997</v>
      </c>
      <c r="I259" s="7">
        <f>MAX(0,
IF(H259&lt;=800,
H259*0.2,
800*0.2+(H259-800)*0.4
)-70
)</f>
        <v>142.18519999999998</v>
      </c>
      <c r="J259" s="7">
        <f>IF(H259&lt;=231,
H259*0.005,
IF(H259&lt;=693,
231*0.005+(H259-231)*0.02,
231*0.005+462*0.02+(H259-693)*0.045
))</f>
        <v>21.080834999999997</v>
      </c>
      <c r="K259" s="7">
        <f>H259*0.04</f>
        <v>37.218519999999998</v>
      </c>
      <c r="L259" s="7">
        <f>I259+J259+K259</f>
        <v>200.484555</v>
      </c>
      <c r="M259" s="7">
        <f>H259-L259</f>
        <v>729.97844499999997</v>
      </c>
    </row>
    <row r="260" spans="1:13" x14ac:dyDescent="0.3">
      <c r="A260" t="s">
        <v>232</v>
      </c>
      <c r="B260" t="s">
        <v>25</v>
      </c>
      <c r="C260" s="7">
        <v>19.78</v>
      </c>
      <c r="D260" s="8">
        <v>44.7</v>
      </c>
      <c r="E260" s="8">
        <f>MAX(0, D260-40)</f>
        <v>4.7000000000000028</v>
      </c>
      <c r="F260" s="7">
        <f>MIN(D260,40)*C260</f>
        <v>791.2</v>
      </c>
      <c r="G260" s="9">
        <f>E260 * C260 * 1.5</f>
        <v>139.4490000000001</v>
      </c>
      <c r="H260" s="7">
        <f>F260+G260</f>
        <v>930.64900000000011</v>
      </c>
      <c r="I260" s="7">
        <f>MAX(0,
IF(H260&lt;=800,
H260*0.2,
800*0.2+(H260-800)*0.4
)-70
)</f>
        <v>142.25960000000003</v>
      </c>
      <c r="J260" s="7">
        <f>IF(H260&lt;=231,
H260*0.005,
IF(H260&lt;=693,
231*0.005+(H260-231)*0.02,
231*0.005+462*0.02+(H260-693)*0.045
))</f>
        <v>21.089205000000007</v>
      </c>
      <c r="K260" s="7">
        <f>H260*0.04</f>
        <v>37.225960000000008</v>
      </c>
      <c r="L260" s="7">
        <f>I260+J260+K260</f>
        <v>200.57476500000004</v>
      </c>
      <c r="M260" s="7">
        <f>H260-L260</f>
        <v>730.07423500000004</v>
      </c>
    </row>
    <row r="261" spans="1:13" x14ac:dyDescent="0.3">
      <c r="A261" t="s">
        <v>441</v>
      </c>
      <c r="B261" t="s">
        <v>19</v>
      </c>
      <c r="C261" s="7">
        <v>21.89</v>
      </c>
      <c r="D261" s="8">
        <v>41.8</v>
      </c>
      <c r="E261" s="8">
        <f>MAX(0, D261-40)</f>
        <v>1.7999999999999972</v>
      </c>
      <c r="F261" s="7">
        <f>MIN(D261,40)*C261</f>
        <v>875.6</v>
      </c>
      <c r="G261" s="9">
        <f>E261 * C261 * 1.5</f>
        <v>59.102999999999909</v>
      </c>
      <c r="H261" s="7">
        <f>F261+G261</f>
        <v>934.70299999999997</v>
      </c>
      <c r="I261" s="7">
        <f>MAX(0,
IF(H261&lt;=800,
H261*0.2,
800*0.2+(H261-800)*0.4
)-70
)</f>
        <v>143.88119999999998</v>
      </c>
      <c r="J261" s="7">
        <f>IF(H261&lt;=231,
H261*0.005,
IF(H261&lt;=693,
231*0.005+(H261-231)*0.02,
231*0.005+462*0.02+(H261-693)*0.045
))</f>
        <v>21.271634999999996</v>
      </c>
      <c r="K261" s="7">
        <f>H261*0.04</f>
        <v>37.388120000000001</v>
      </c>
      <c r="L261" s="7">
        <f>I261+J261+K261</f>
        <v>202.540955</v>
      </c>
      <c r="M261" s="7">
        <f>H261-L261</f>
        <v>732.16204500000003</v>
      </c>
    </row>
    <row r="262" spans="1:13" x14ac:dyDescent="0.3">
      <c r="A262" t="s">
        <v>460</v>
      </c>
      <c r="B262" t="s">
        <v>9</v>
      </c>
      <c r="C262" s="7">
        <v>21.22</v>
      </c>
      <c r="D262" s="8">
        <v>42.7</v>
      </c>
      <c r="E262" s="8">
        <f>MAX(0, D262-40)</f>
        <v>2.7000000000000028</v>
      </c>
      <c r="F262" s="7">
        <f>MIN(D262,40)*C262</f>
        <v>848.8</v>
      </c>
      <c r="G262" s="9">
        <f>E262 * C262 * 1.5</f>
        <v>85.941000000000088</v>
      </c>
      <c r="H262" s="7">
        <f>F262+G262</f>
        <v>934.74099999999999</v>
      </c>
      <c r="I262" s="7">
        <f>MAX(0,
IF(H262&lt;=800,
H262*0.2,
800*0.2+(H262-800)*0.4
)-70
)</f>
        <v>143.8964</v>
      </c>
      <c r="J262" s="7">
        <f>IF(H262&lt;=231,
H262*0.005,
IF(H262&lt;=693,
231*0.005+(H262-231)*0.02,
231*0.005+462*0.02+(H262-693)*0.045
))</f>
        <v>21.273344999999999</v>
      </c>
      <c r="K262" s="7">
        <f>H262*0.04</f>
        <v>37.38964</v>
      </c>
      <c r="L262" s="7">
        <f>I262+J262+K262</f>
        <v>202.55938500000002</v>
      </c>
      <c r="M262" s="7">
        <f>H262-L262</f>
        <v>732.18161499999997</v>
      </c>
    </row>
    <row r="263" spans="1:13" x14ac:dyDescent="0.3">
      <c r="A263" t="s">
        <v>429</v>
      </c>
      <c r="B263" t="s">
        <v>17</v>
      </c>
      <c r="C263" s="7">
        <v>23.98</v>
      </c>
      <c r="D263" s="8">
        <v>39</v>
      </c>
      <c r="E263" s="8">
        <f>MAX(0, D263-40)</f>
        <v>0</v>
      </c>
      <c r="F263" s="7">
        <f>MIN(D263,40)*C263</f>
        <v>935.22</v>
      </c>
      <c r="G263" s="9">
        <f>E263 * C263 * 1.5</f>
        <v>0</v>
      </c>
      <c r="H263" s="7">
        <f>F263+G263</f>
        <v>935.22</v>
      </c>
      <c r="I263" s="7">
        <f>MAX(0,
IF(H263&lt;=800,
H263*0.2,
800*0.2+(H263-800)*0.4
)-70
)</f>
        <v>144.08800000000002</v>
      </c>
      <c r="J263" s="7">
        <f>IF(H263&lt;=231,
H263*0.005,
IF(H263&lt;=693,
231*0.005+(H263-231)*0.02,
231*0.005+462*0.02+(H263-693)*0.045
))</f>
        <v>21.294899999999998</v>
      </c>
      <c r="K263" s="7">
        <f>H263*0.04</f>
        <v>37.408799999999999</v>
      </c>
      <c r="L263" s="7">
        <f>I263+J263+K263</f>
        <v>202.79169999999999</v>
      </c>
      <c r="M263" s="7">
        <f>H263-L263</f>
        <v>732.42830000000004</v>
      </c>
    </row>
    <row r="264" spans="1:13" x14ac:dyDescent="0.3">
      <c r="A264" t="s">
        <v>4</v>
      </c>
      <c r="B264" t="s">
        <v>5</v>
      </c>
      <c r="C264" s="7">
        <v>25.74</v>
      </c>
      <c r="D264" s="8">
        <v>36.4</v>
      </c>
      <c r="E264" s="8">
        <f>MAX(0, D264-40)</f>
        <v>0</v>
      </c>
      <c r="F264" s="7">
        <f>MIN(D264,40)*C264</f>
        <v>936.93599999999992</v>
      </c>
      <c r="G264" s="9">
        <f>E264 * C264 * 1.5</f>
        <v>0</v>
      </c>
      <c r="H264" s="7">
        <f>F264+G264</f>
        <v>936.93599999999992</v>
      </c>
      <c r="I264" s="7">
        <f>MAX(0,
IF(H264&lt;=800,
H264*0.2,
800*0.2+(H264-800)*0.4
)-70
)</f>
        <v>144.77439999999996</v>
      </c>
      <c r="J264" s="7">
        <f>IF(H264&lt;=231,
H264*0.005,
IF(H264&lt;=693,
231*0.005+(H264-231)*0.02,
231*0.005+462*0.02+(H264-693)*0.045
))</f>
        <v>21.372119999999995</v>
      </c>
      <c r="K264" s="7">
        <f>H264*0.04</f>
        <v>37.477439999999994</v>
      </c>
      <c r="L264" s="7">
        <f>I264+J264+K264</f>
        <v>203.62395999999995</v>
      </c>
      <c r="M264" s="7">
        <f>H264-L264</f>
        <v>733.31204000000002</v>
      </c>
    </row>
    <row r="265" spans="1:13" x14ac:dyDescent="0.3">
      <c r="A265" t="s">
        <v>6</v>
      </c>
      <c r="B265" t="s">
        <v>13</v>
      </c>
      <c r="C265" s="7">
        <v>25.54</v>
      </c>
      <c r="D265" s="8">
        <v>36.700000000000003</v>
      </c>
      <c r="E265" s="8">
        <f>MAX(0, D265-40)</f>
        <v>0</v>
      </c>
      <c r="F265" s="7">
        <f>MIN(D265,40)*C265</f>
        <v>937.3180000000001</v>
      </c>
      <c r="G265" s="9">
        <f>E265 * C265 * 1.5</f>
        <v>0</v>
      </c>
      <c r="H265" s="7">
        <f>F265+G265</f>
        <v>937.3180000000001</v>
      </c>
      <c r="I265" s="7">
        <f>MAX(0,
IF(H265&lt;=800,
H265*0.2,
800*0.2+(H265-800)*0.4
)-70
)</f>
        <v>144.92720000000003</v>
      </c>
      <c r="J265" s="7">
        <f>IF(H265&lt;=231,
H265*0.005,
IF(H265&lt;=693,
231*0.005+(H265-231)*0.02,
231*0.005+462*0.02+(H265-693)*0.045
))</f>
        <v>21.389310000000002</v>
      </c>
      <c r="K265" s="7">
        <f>H265*0.04</f>
        <v>37.492720000000006</v>
      </c>
      <c r="L265" s="7">
        <f>I265+J265+K265</f>
        <v>203.80923000000001</v>
      </c>
      <c r="M265" s="7">
        <f>H265-L265</f>
        <v>733.50877000000014</v>
      </c>
    </row>
    <row r="266" spans="1:13" x14ac:dyDescent="0.3">
      <c r="A266" t="s">
        <v>119</v>
      </c>
      <c r="B266" t="s">
        <v>7</v>
      </c>
      <c r="C266" s="7">
        <v>21.48</v>
      </c>
      <c r="D266" s="8">
        <v>42.5</v>
      </c>
      <c r="E266" s="8">
        <f>MAX(0, D266-40)</f>
        <v>2.5</v>
      </c>
      <c r="F266" s="7">
        <f>MIN(D266,40)*C266</f>
        <v>859.2</v>
      </c>
      <c r="G266" s="9">
        <f>E266 * C266 * 1.5</f>
        <v>80.550000000000011</v>
      </c>
      <c r="H266" s="7">
        <f>F266+G266</f>
        <v>939.75</v>
      </c>
      <c r="I266" s="7">
        <f>MAX(0,
IF(H266&lt;=800,
H266*0.2,
800*0.2+(H266-800)*0.4
)-70
)</f>
        <v>145.9</v>
      </c>
      <c r="J266" s="7">
        <f>IF(H266&lt;=231,
H266*0.005,
IF(H266&lt;=693,
231*0.005+(H266-231)*0.02,
231*0.005+462*0.02+(H266-693)*0.045
))</f>
        <v>21.498750000000001</v>
      </c>
      <c r="K266" s="7">
        <f>H266*0.04</f>
        <v>37.590000000000003</v>
      </c>
      <c r="L266" s="7">
        <f>I266+J266+K266</f>
        <v>204.98875000000001</v>
      </c>
      <c r="M266" s="7">
        <f>H266-L266</f>
        <v>734.76125000000002</v>
      </c>
    </row>
    <row r="267" spans="1:13" x14ac:dyDescent="0.3">
      <c r="A267" t="s">
        <v>298</v>
      </c>
      <c r="B267" t="s">
        <v>209</v>
      </c>
      <c r="C267" s="7">
        <v>26.06</v>
      </c>
      <c r="D267" s="8">
        <v>36.1</v>
      </c>
      <c r="E267" s="8">
        <f>MAX(0, D267-40)</f>
        <v>0</v>
      </c>
      <c r="F267" s="7">
        <f>MIN(D267,40)*C267</f>
        <v>940.76599999999996</v>
      </c>
      <c r="G267" s="9">
        <f>E267 * C267 * 1.5</f>
        <v>0</v>
      </c>
      <c r="H267" s="7">
        <f>F267+G267</f>
        <v>940.76599999999996</v>
      </c>
      <c r="I267" s="7">
        <f>MAX(0,
IF(H267&lt;=800,
H267*0.2,
800*0.2+(H267-800)*0.4
)-70
)</f>
        <v>146.3064</v>
      </c>
      <c r="J267" s="7">
        <f>IF(H267&lt;=231,
H267*0.005,
IF(H267&lt;=693,
231*0.005+(H267-231)*0.02,
231*0.005+462*0.02+(H267-693)*0.045
))</f>
        <v>21.544469999999997</v>
      </c>
      <c r="K267" s="7">
        <f>H267*0.04</f>
        <v>37.63064</v>
      </c>
      <c r="L267" s="7">
        <f>I267+J267+K267</f>
        <v>205.48150999999999</v>
      </c>
      <c r="M267" s="7">
        <f>H267-L267</f>
        <v>735.28449000000001</v>
      </c>
    </row>
    <row r="268" spans="1:13" x14ac:dyDescent="0.3">
      <c r="A268" t="s">
        <v>140</v>
      </c>
      <c r="B268" t="s">
        <v>19</v>
      </c>
      <c r="C268" s="7">
        <v>21.73</v>
      </c>
      <c r="D268" s="8">
        <v>42.2</v>
      </c>
      <c r="E268" s="8">
        <f>MAX(0, D268-40)</f>
        <v>2.2000000000000028</v>
      </c>
      <c r="F268" s="7">
        <f>MIN(D268,40)*C268</f>
        <v>869.2</v>
      </c>
      <c r="G268" s="9">
        <f>E268 * C268 * 1.5</f>
        <v>71.709000000000088</v>
      </c>
      <c r="H268" s="7">
        <f>F268+G268</f>
        <v>940.90900000000011</v>
      </c>
      <c r="I268" s="7">
        <f>MAX(0,
IF(H268&lt;=800,
H268*0.2,
800*0.2+(H268-800)*0.4
)-70
)</f>
        <v>146.36360000000005</v>
      </c>
      <c r="J268" s="7">
        <f>IF(H268&lt;=231,
H268*0.005,
IF(H268&lt;=693,
231*0.005+(H268-231)*0.02,
231*0.005+462*0.02+(H268-693)*0.045
))</f>
        <v>21.550905000000004</v>
      </c>
      <c r="K268" s="7">
        <f>H268*0.04</f>
        <v>37.636360000000003</v>
      </c>
      <c r="L268" s="7">
        <f>I268+J268+K268</f>
        <v>205.55086500000004</v>
      </c>
      <c r="M268" s="7">
        <f>H268-L268</f>
        <v>735.35813500000006</v>
      </c>
    </row>
    <row r="269" spans="1:13" x14ac:dyDescent="0.3">
      <c r="A269" t="s">
        <v>362</v>
      </c>
      <c r="B269" t="s">
        <v>73</v>
      </c>
      <c r="C269" s="7">
        <v>25.64</v>
      </c>
      <c r="D269" s="8">
        <v>36.700000000000003</v>
      </c>
      <c r="E269" s="8">
        <f>MAX(0, D269-40)</f>
        <v>0</v>
      </c>
      <c r="F269" s="7">
        <f>MIN(D269,40)*C269</f>
        <v>940.98800000000006</v>
      </c>
      <c r="G269" s="9">
        <f>E269 * C269 * 1.5</f>
        <v>0</v>
      </c>
      <c r="H269" s="7">
        <f>F269+G269</f>
        <v>940.98800000000006</v>
      </c>
      <c r="I269" s="7">
        <f>MAX(0,
IF(H269&lt;=800,
H269*0.2,
800*0.2+(H269-800)*0.4
)-70
)</f>
        <v>146.39520000000002</v>
      </c>
      <c r="J269" s="7">
        <f>IF(H269&lt;=231,
H269*0.005,
IF(H269&lt;=693,
231*0.005+(H269-231)*0.02,
231*0.005+462*0.02+(H269-693)*0.045
))</f>
        <v>21.554460000000002</v>
      </c>
      <c r="K269" s="7">
        <f>H269*0.04</f>
        <v>37.639520000000005</v>
      </c>
      <c r="L269" s="7">
        <f>I269+J269+K269</f>
        <v>205.58918000000003</v>
      </c>
      <c r="M269" s="7">
        <f>H269-L269</f>
        <v>735.39882</v>
      </c>
    </row>
    <row r="270" spans="1:13" x14ac:dyDescent="0.3">
      <c r="A270" t="s">
        <v>110</v>
      </c>
      <c r="B270" t="s">
        <v>32</v>
      </c>
      <c r="C270" s="7">
        <v>22.94</v>
      </c>
      <c r="D270" s="8">
        <v>40.700000000000003</v>
      </c>
      <c r="E270" s="8">
        <f>MAX(0, D270-40)</f>
        <v>0.70000000000000284</v>
      </c>
      <c r="F270" s="7">
        <f>MIN(D270,40)*C270</f>
        <v>917.6</v>
      </c>
      <c r="G270" s="9">
        <f>E270 * C270 * 1.5</f>
        <v>24.087000000000103</v>
      </c>
      <c r="H270" s="7">
        <f>F270+G270</f>
        <v>941.68700000000013</v>
      </c>
      <c r="I270" s="7">
        <f>MAX(0,
IF(H270&lt;=800,
H270*0.2,
800*0.2+(H270-800)*0.4
)-70
)</f>
        <v>146.67480000000006</v>
      </c>
      <c r="J270" s="7">
        <f>IF(H270&lt;=231,
H270*0.005,
IF(H270&lt;=693,
231*0.005+(H270-231)*0.02,
231*0.005+462*0.02+(H270-693)*0.045
))</f>
        <v>21.585915000000007</v>
      </c>
      <c r="K270" s="7">
        <f>H270*0.04</f>
        <v>37.667480000000005</v>
      </c>
      <c r="L270" s="7">
        <f>I270+J270+K270</f>
        <v>205.92819500000007</v>
      </c>
      <c r="M270" s="7">
        <f>H270-L270</f>
        <v>735.75880500000005</v>
      </c>
    </row>
    <row r="271" spans="1:13" x14ac:dyDescent="0.3">
      <c r="A271" t="s">
        <v>369</v>
      </c>
      <c r="B271" t="s">
        <v>59</v>
      </c>
      <c r="C271" s="7">
        <v>21.53</v>
      </c>
      <c r="D271" s="8">
        <v>42.5</v>
      </c>
      <c r="E271" s="8">
        <f>MAX(0, D271-40)</f>
        <v>2.5</v>
      </c>
      <c r="F271" s="7">
        <f>MIN(D271,40)*C271</f>
        <v>861.2</v>
      </c>
      <c r="G271" s="9">
        <f>E271 * C271 * 1.5</f>
        <v>80.737500000000011</v>
      </c>
      <c r="H271" s="7">
        <f>F271+G271</f>
        <v>941.9375</v>
      </c>
      <c r="I271" s="7">
        <f>MAX(0,
IF(H271&lt;=800,
H271*0.2,
800*0.2+(H271-800)*0.4
)-70
)</f>
        <v>146.77500000000001</v>
      </c>
      <c r="J271" s="7">
        <f>IF(H271&lt;=231,
H271*0.005,
IF(H271&lt;=693,
231*0.005+(H271-231)*0.02,
231*0.005+462*0.02+(H271-693)*0.045
))</f>
        <v>21.597187499999997</v>
      </c>
      <c r="K271" s="7">
        <f>H271*0.04</f>
        <v>37.677500000000002</v>
      </c>
      <c r="L271" s="7">
        <f>I271+J271+K271</f>
        <v>206.0496875</v>
      </c>
      <c r="M271" s="7">
        <f>H271-L271</f>
        <v>735.8878125</v>
      </c>
    </row>
    <row r="272" spans="1:13" x14ac:dyDescent="0.3">
      <c r="A272" t="s">
        <v>283</v>
      </c>
      <c r="B272" t="s">
        <v>15</v>
      </c>
      <c r="C272" s="7">
        <v>19.899999999999999</v>
      </c>
      <c r="D272" s="8">
        <v>45</v>
      </c>
      <c r="E272" s="8">
        <f>MAX(0, D272-40)</f>
        <v>5</v>
      </c>
      <c r="F272" s="7">
        <f>MIN(D272,40)*C272</f>
        <v>796</v>
      </c>
      <c r="G272" s="9">
        <f>E272 * C272 * 1.5</f>
        <v>149.25</v>
      </c>
      <c r="H272" s="7">
        <f>F272+G272</f>
        <v>945.25</v>
      </c>
      <c r="I272" s="7">
        <f>MAX(0,
IF(H272&lt;=800,
H272*0.2,
800*0.2+(H272-800)*0.4
)-70
)</f>
        <v>148.1</v>
      </c>
      <c r="J272" s="7">
        <f>IF(H272&lt;=231,
H272*0.005,
IF(H272&lt;=693,
231*0.005+(H272-231)*0.02,
231*0.005+462*0.02+(H272-693)*0.045
))</f>
        <v>21.74625</v>
      </c>
      <c r="K272" s="6">
        <f>H272*0.04</f>
        <v>37.81</v>
      </c>
      <c r="L272" s="7">
        <f>I272+J272+K272</f>
        <v>207.65625</v>
      </c>
      <c r="M272" s="7">
        <f>H272-L272</f>
        <v>737.59375</v>
      </c>
    </row>
    <row r="273" spans="1:13" x14ac:dyDescent="0.3">
      <c r="A273" t="s">
        <v>281</v>
      </c>
      <c r="B273" t="s">
        <v>11</v>
      </c>
      <c r="C273" s="7">
        <v>21.91</v>
      </c>
      <c r="D273" s="8">
        <v>42.1</v>
      </c>
      <c r="E273" s="8">
        <f>MAX(0, D273-40)</f>
        <v>2.1000000000000014</v>
      </c>
      <c r="F273" s="7">
        <f>MIN(D273,40)*C273</f>
        <v>876.4</v>
      </c>
      <c r="G273" s="9">
        <f>E273 * C273 * 1.5</f>
        <v>69.01650000000005</v>
      </c>
      <c r="H273" s="7">
        <f>F273+G273</f>
        <v>945.41650000000004</v>
      </c>
      <c r="I273" s="7">
        <f>MAX(0,
IF(H273&lt;=800,
H273*0.2,
800*0.2+(H273-800)*0.4
)-70
)</f>
        <v>148.16660000000002</v>
      </c>
      <c r="J273" s="7">
        <f>IF(H273&lt;=231,
H273*0.005,
IF(H273&lt;=693,
231*0.005+(H273-231)*0.02,
231*0.005+462*0.02+(H273-693)*0.045
))</f>
        <v>21.753742500000001</v>
      </c>
      <c r="K273" s="7">
        <f>H273*0.04</f>
        <v>37.816660000000006</v>
      </c>
      <c r="L273" s="7">
        <f>I273+J273+K273</f>
        <v>207.73700250000002</v>
      </c>
      <c r="M273" s="7">
        <f>H273-L273</f>
        <v>737.67949750000002</v>
      </c>
    </row>
    <row r="274" spans="1:13" x14ac:dyDescent="0.3">
      <c r="A274" t="s">
        <v>471</v>
      </c>
      <c r="B274" t="s">
        <v>25</v>
      </c>
      <c r="C274" s="7">
        <v>21.2</v>
      </c>
      <c r="D274" s="8">
        <v>43.1</v>
      </c>
      <c r="E274" s="8">
        <f>MAX(0, D274-40)</f>
        <v>3.1000000000000014</v>
      </c>
      <c r="F274" s="7">
        <f>MIN(D274,40)*C274</f>
        <v>848</v>
      </c>
      <c r="G274" s="9">
        <f>E274 * C274 * 1.5</f>
        <v>98.580000000000041</v>
      </c>
      <c r="H274" s="7">
        <f>F274+G274</f>
        <v>946.58</v>
      </c>
      <c r="I274" s="7">
        <f>MAX(0,
IF(H274&lt;=800,
H274*0.2,
800*0.2+(H274-800)*0.4
)-70
)</f>
        <v>148.63200000000001</v>
      </c>
      <c r="J274" s="7">
        <f>IF(H274&lt;=231,
H274*0.005,
IF(H274&lt;=693,
231*0.005+(H274-231)*0.02,
231*0.005+462*0.02+(H274-693)*0.045
))</f>
        <v>21.806100000000001</v>
      </c>
      <c r="K274" s="7">
        <f>H274*0.04</f>
        <v>37.863199999999999</v>
      </c>
      <c r="L274" s="7">
        <f>I274+J274+K274</f>
        <v>208.30130000000003</v>
      </c>
      <c r="M274" s="7">
        <f>H274-L274</f>
        <v>738.27870000000007</v>
      </c>
    </row>
    <row r="275" spans="1:13" x14ac:dyDescent="0.3">
      <c r="A275" t="s">
        <v>128</v>
      </c>
      <c r="B275" t="s">
        <v>99</v>
      </c>
      <c r="C275" s="7">
        <v>25.67</v>
      </c>
      <c r="D275" s="8">
        <v>36.9</v>
      </c>
      <c r="E275" s="8">
        <f>MAX(0, D275-40)</f>
        <v>0</v>
      </c>
      <c r="F275" s="7">
        <f>MIN(D275,40)*C275</f>
        <v>947.22300000000007</v>
      </c>
      <c r="G275" s="9">
        <f>E275 * C275 * 1.5</f>
        <v>0</v>
      </c>
      <c r="H275" s="7">
        <f>F275+G275</f>
        <v>947.22300000000007</v>
      </c>
      <c r="I275" s="7">
        <f>MAX(0,
IF(H275&lt;=800,
H275*0.2,
800*0.2+(H275-800)*0.4
)-70
)</f>
        <v>148.88920000000002</v>
      </c>
      <c r="J275" s="7">
        <f>IF(H275&lt;=231,
H275*0.005,
IF(H275&lt;=693,
231*0.005+(H275-231)*0.02,
231*0.005+462*0.02+(H275-693)*0.045
))</f>
        <v>21.835035000000005</v>
      </c>
      <c r="K275" s="7">
        <f>H275*0.04</f>
        <v>37.888920000000006</v>
      </c>
      <c r="L275" s="7">
        <f>I275+J275+K275</f>
        <v>208.61315500000003</v>
      </c>
      <c r="M275" s="7">
        <f>H275-L275</f>
        <v>738.60984500000006</v>
      </c>
    </row>
    <row r="276" spans="1:13" x14ac:dyDescent="0.3">
      <c r="A276" t="s">
        <v>246</v>
      </c>
      <c r="B276" t="s">
        <v>21</v>
      </c>
      <c r="C276" s="7">
        <v>22.35</v>
      </c>
      <c r="D276" s="8">
        <v>41.7</v>
      </c>
      <c r="E276" s="8">
        <f>MAX(0, D276-40)</f>
        <v>1.7000000000000028</v>
      </c>
      <c r="F276" s="7">
        <f>MIN(D276,40)*C276</f>
        <v>894</v>
      </c>
      <c r="G276" s="9">
        <f>E276 * C276 * 1.5</f>
        <v>56.992500000000106</v>
      </c>
      <c r="H276" s="7">
        <f>F276+G276</f>
        <v>950.99250000000006</v>
      </c>
      <c r="I276" s="7">
        <f>MAX(0,
IF(H276&lt;=800,
H276*0.2,
800*0.2+(H276-800)*0.4
)-70
)</f>
        <v>150.39700000000002</v>
      </c>
      <c r="J276" s="7">
        <f>IF(H276&lt;=231,
H276*0.005,
IF(H276&lt;=693,
231*0.005+(H276-231)*0.02,
231*0.005+462*0.02+(H276-693)*0.045
))</f>
        <v>22.004662500000002</v>
      </c>
      <c r="K276" s="7">
        <f>H276*0.04</f>
        <v>38.039700000000003</v>
      </c>
      <c r="L276" s="7">
        <f>I276+J276+K276</f>
        <v>210.44136250000003</v>
      </c>
      <c r="M276" s="7">
        <f>H276-L276</f>
        <v>740.5511375000001</v>
      </c>
    </row>
    <row r="277" spans="1:13" x14ac:dyDescent="0.3">
      <c r="A277" t="s">
        <v>357</v>
      </c>
      <c r="B277" t="s">
        <v>99</v>
      </c>
      <c r="C277" s="7">
        <v>23.92</v>
      </c>
      <c r="D277" s="8">
        <v>39.799999999999997</v>
      </c>
      <c r="E277" s="8">
        <f>MAX(0, D277-40)</f>
        <v>0</v>
      </c>
      <c r="F277" s="7">
        <f>MIN(D277,40)*C277</f>
        <v>952.01599999999996</v>
      </c>
      <c r="G277" s="9">
        <f>E277 * C277 * 1.5</f>
        <v>0</v>
      </c>
      <c r="H277" s="7">
        <f>F277+G277</f>
        <v>952.01599999999996</v>
      </c>
      <c r="I277" s="7">
        <f>MAX(0,
IF(H277&lt;=800,
H277*0.2,
800*0.2+(H277-800)*0.4
)-70
)</f>
        <v>150.8064</v>
      </c>
      <c r="J277" s="7">
        <f>IF(H277&lt;=231,
H277*0.005,
IF(H277&lt;=693,
231*0.005+(H277-231)*0.02,
231*0.005+462*0.02+(H277-693)*0.045
))</f>
        <v>22.050719999999998</v>
      </c>
      <c r="K277" s="7">
        <f>H277*0.04</f>
        <v>38.080640000000002</v>
      </c>
      <c r="L277" s="7">
        <f>I277+J277+K277</f>
        <v>210.93776000000003</v>
      </c>
      <c r="M277" s="7">
        <f>H277-L277</f>
        <v>741.07823999999994</v>
      </c>
    </row>
    <row r="278" spans="1:13" x14ac:dyDescent="0.3">
      <c r="A278" t="s">
        <v>439</v>
      </c>
      <c r="B278" t="s">
        <v>73</v>
      </c>
      <c r="C278" s="7">
        <v>24.25</v>
      </c>
      <c r="D278" s="8">
        <v>39.4</v>
      </c>
      <c r="E278" s="8">
        <f>MAX(0, D278-40)</f>
        <v>0</v>
      </c>
      <c r="F278" s="7">
        <f>MIN(D278,40)*C278</f>
        <v>955.44999999999993</v>
      </c>
      <c r="G278" s="9">
        <f>E278 * C278 * 1.5</f>
        <v>0</v>
      </c>
      <c r="H278" s="7">
        <f>F278+G278</f>
        <v>955.44999999999993</v>
      </c>
      <c r="I278" s="7">
        <f>MAX(0,
IF(H278&lt;=800,
H278*0.2,
800*0.2+(H278-800)*0.4
)-70
)</f>
        <v>152.17999999999998</v>
      </c>
      <c r="J278" s="7">
        <f>IF(H278&lt;=231,
H278*0.005,
IF(H278&lt;=693,
231*0.005+(H278-231)*0.02,
231*0.005+462*0.02+(H278-693)*0.045
))</f>
        <v>22.205249999999996</v>
      </c>
      <c r="K278" s="7">
        <f>H278*0.04</f>
        <v>38.217999999999996</v>
      </c>
      <c r="L278" s="7">
        <f>I278+J278+K278</f>
        <v>212.60324999999997</v>
      </c>
      <c r="M278" s="7">
        <f>H278-L278</f>
        <v>742.84674999999993</v>
      </c>
    </row>
    <row r="279" spans="1:13" x14ac:dyDescent="0.3">
      <c r="A279" t="s">
        <v>368</v>
      </c>
      <c r="B279" t="s">
        <v>15</v>
      </c>
      <c r="C279" s="7">
        <v>21.86</v>
      </c>
      <c r="D279" s="8">
        <v>42.5</v>
      </c>
      <c r="E279" s="8">
        <f>MAX(0, D279-40)</f>
        <v>2.5</v>
      </c>
      <c r="F279" s="7">
        <f>MIN(D279,40)*C279</f>
        <v>874.4</v>
      </c>
      <c r="G279" s="9">
        <f>E279 * C279 * 1.5</f>
        <v>81.974999999999994</v>
      </c>
      <c r="H279" s="7">
        <f>F279+G279</f>
        <v>956.375</v>
      </c>
      <c r="I279" s="7">
        <f>MAX(0,
IF(H279&lt;=800,
H279*0.2,
800*0.2+(H279-800)*0.4
)-70
)</f>
        <v>152.55000000000001</v>
      </c>
      <c r="J279" s="7">
        <f>IF(H279&lt;=231,
H279*0.005,
IF(H279&lt;=693,
231*0.005+(H279-231)*0.02,
231*0.005+462*0.02+(H279-693)*0.045
))</f>
        <v>22.246874999999999</v>
      </c>
      <c r="K279" s="7">
        <f>H279*0.04</f>
        <v>38.255000000000003</v>
      </c>
      <c r="L279" s="7">
        <f>I279+J279+K279</f>
        <v>213.051875</v>
      </c>
      <c r="M279" s="7">
        <f>H279-L279</f>
        <v>743.323125</v>
      </c>
    </row>
    <row r="280" spans="1:13" x14ac:dyDescent="0.3">
      <c r="A280" t="s">
        <v>38</v>
      </c>
      <c r="B280" t="s">
        <v>29</v>
      </c>
      <c r="C280" s="7">
        <v>20.329999999999998</v>
      </c>
      <c r="D280" s="8">
        <v>44.7</v>
      </c>
      <c r="E280" s="8">
        <f>MAX(0, D280-40)</f>
        <v>4.7000000000000028</v>
      </c>
      <c r="F280" s="7">
        <f>MIN(D280,40)*C280</f>
        <v>813.19999999999993</v>
      </c>
      <c r="G280" s="9">
        <f>E280 * C280 * 1.5</f>
        <v>143.32650000000007</v>
      </c>
      <c r="H280" s="7">
        <f>F280+G280</f>
        <v>956.52649999999994</v>
      </c>
      <c r="I280" s="7">
        <f>MAX(0,
IF(H280&lt;=800,
H280*0.2,
800*0.2+(H280-800)*0.4
)-70
)</f>
        <v>152.61059999999998</v>
      </c>
      <c r="J280" s="7">
        <f>IF(H280&lt;=231,
H280*0.005,
IF(H280&lt;=693,
231*0.005+(H280-231)*0.02,
231*0.005+462*0.02+(H280-693)*0.045
))</f>
        <v>22.253692499999996</v>
      </c>
      <c r="K280" s="7">
        <f>H280*0.04</f>
        <v>38.261060000000001</v>
      </c>
      <c r="L280" s="7">
        <f>I280+J280+K280</f>
        <v>213.12535249999996</v>
      </c>
      <c r="M280" s="7">
        <f>H280-L280</f>
        <v>743.40114749999998</v>
      </c>
    </row>
    <row r="281" spans="1:13" x14ac:dyDescent="0.3">
      <c r="A281" t="s">
        <v>229</v>
      </c>
      <c r="B281" t="s">
        <v>99</v>
      </c>
      <c r="C281" s="7">
        <v>24.47</v>
      </c>
      <c r="D281" s="8">
        <v>39.1</v>
      </c>
      <c r="E281" s="8">
        <f>MAX(0, D281-40)</f>
        <v>0</v>
      </c>
      <c r="F281" s="7">
        <f>MIN(D281,40)*C281</f>
        <v>956.77700000000004</v>
      </c>
      <c r="G281" s="9">
        <f>E281 * C281 * 1.5</f>
        <v>0</v>
      </c>
      <c r="H281" s="7">
        <f>F281+G281</f>
        <v>956.77700000000004</v>
      </c>
      <c r="I281" s="7">
        <f>MAX(0,
IF(H281&lt;=800,
H281*0.2,
800*0.2+(H281-800)*0.4
)-70
)</f>
        <v>152.71080000000001</v>
      </c>
      <c r="J281" s="7">
        <f>IF(H281&lt;=231,
H281*0.005,
IF(H281&lt;=693,
231*0.005+(H281-231)*0.02,
231*0.005+462*0.02+(H281-693)*0.045
))</f>
        <v>22.264965000000004</v>
      </c>
      <c r="K281" s="7">
        <f>H281*0.04</f>
        <v>38.271080000000005</v>
      </c>
      <c r="L281" s="7">
        <f>I281+J281+K281</f>
        <v>213.24684500000004</v>
      </c>
      <c r="M281" s="7">
        <f>H281-L281</f>
        <v>743.53015500000004</v>
      </c>
    </row>
    <row r="282" spans="1:13" x14ac:dyDescent="0.3">
      <c r="A282" t="s">
        <v>62</v>
      </c>
      <c r="B282" t="s">
        <v>23</v>
      </c>
      <c r="C282" s="7">
        <v>20.41</v>
      </c>
      <c r="D282" s="8">
        <v>44.8</v>
      </c>
      <c r="E282" s="8">
        <f>MAX(0, D282-40)</f>
        <v>4.7999999999999972</v>
      </c>
      <c r="F282" s="7">
        <f>MIN(D282,40)*C282</f>
        <v>816.4</v>
      </c>
      <c r="G282" s="9">
        <f>E282 * C282 * 1.5</f>
        <v>146.95199999999991</v>
      </c>
      <c r="H282" s="7">
        <f>F282+G282</f>
        <v>963.35199999999986</v>
      </c>
      <c r="I282" s="7">
        <f>MAX(0,
IF(H282&lt;=800,
H282*0.2,
800*0.2+(H282-800)*0.4
)-70
)</f>
        <v>155.34079999999994</v>
      </c>
      <c r="J282" s="7">
        <f>IF(H282&lt;=231,
H282*0.005,
IF(H282&lt;=693,
231*0.005+(H282-231)*0.02,
231*0.005+462*0.02+(H282-693)*0.045
))</f>
        <v>22.560839999999992</v>
      </c>
      <c r="K282" s="7">
        <f>H282*0.04</f>
        <v>38.534079999999996</v>
      </c>
      <c r="L282" s="7">
        <f>I282+J282+K282</f>
        <v>216.43571999999992</v>
      </c>
      <c r="M282" s="7">
        <f>H282-L282</f>
        <v>746.91627999999992</v>
      </c>
    </row>
    <row r="283" spans="1:13" x14ac:dyDescent="0.3">
      <c r="A283" t="s">
        <v>288</v>
      </c>
      <c r="B283" t="s">
        <v>49</v>
      </c>
      <c r="C283" s="7">
        <v>26.11</v>
      </c>
      <c r="D283" s="8">
        <v>36.9</v>
      </c>
      <c r="E283" s="8">
        <f>MAX(0, D283-40)</f>
        <v>0</v>
      </c>
      <c r="F283" s="7">
        <f>MIN(D283,40)*C283</f>
        <v>963.45899999999995</v>
      </c>
      <c r="G283" s="9">
        <f>E283 * C283 * 1.5</f>
        <v>0</v>
      </c>
      <c r="H283" s="7">
        <f>F283+G283</f>
        <v>963.45899999999995</v>
      </c>
      <c r="I283" s="7">
        <f>MAX(0,
IF(H283&lt;=800,
H283*0.2,
800*0.2+(H283-800)*0.4
)-70
)</f>
        <v>155.3836</v>
      </c>
      <c r="J283" s="7">
        <f>IF(H283&lt;=231,
H283*0.005,
IF(H283&lt;=693,
231*0.005+(H283-231)*0.02,
231*0.005+462*0.02+(H283-693)*0.045
))</f>
        <v>22.565654999999996</v>
      </c>
      <c r="K283" s="7">
        <f>H283*0.04</f>
        <v>38.538359999999997</v>
      </c>
      <c r="L283" s="7">
        <f>I283+J283+K283</f>
        <v>216.48761500000001</v>
      </c>
      <c r="M283" s="7">
        <f>H283-L283</f>
        <v>746.97138499999994</v>
      </c>
    </row>
    <row r="284" spans="1:13" x14ac:dyDescent="0.3">
      <c r="A284" t="s">
        <v>252</v>
      </c>
      <c r="B284" t="s">
        <v>17</v>
      </c>
      <c r="C284" s="7">
        <v>21.35</v>
      </c>
      <c r="D284" s="8">
        <v>43.5</v>
      </c>
      <c r="E284" s="8">
        <f>MAX(0, D284-40)</f>
        <v>3.5</v>
      </c>
      <c r="F284" s="7">
        <f>MIN(D284,40)*C284</f>
        <v>854</v>
      </c>
      <c r="G284" s="9">
        <f>E284 * C284 * 1.5</f>
        <v>112.08750000000001</v>
      </c>
      <c r="H284" s="7">
        <f>F284+G284</f>
        <v>966.08749999999998</v>
      </c>
      <c r="I284" s="7">
        <f>MAX(0,
IF(H284&lt;=800,
H284*0.2,
800*0.2+(H284-800)*0.4
)-70
)</f>
        <v>156.435</v>
      </c>
      <c r="J284" s="7">
        <f>IF(H284&lt;=231,
H284*0.005,
IF(H284&lt;=693,
231*0.005+(H284-231)*0.02,
231*0.005+462*0.02+(H284-693)*0.045
))</f>
        <v>22.683937499999999</v>
      </c>
      <c r="K284" s="7">
        <f>H284*0.04</f>
        <v>38.643500000000003</v>
      </c>
      <c r="L284" s="7">
        <f>I284+J284+K284</f>
        <v>217.76243750000003</v>
      </c>
      <c r="M284" s="7">
        <f>H284-L284</f>
        <v>748.32506249999994</v>
      </c>
    </row>
    <row r="285" spans="1:13" x14ac:dyDescent="0.3">
      <c r="A285" t="s">
        <v>85</v>
      </c>
      <c r="B285" t="s">
        <v>46</v>
      </c>
      <c r="C285" s="7">
        <v>27.33</v>
      </c>
      <c r="D285" s="8">
        <v>35.4</v>
      </c>
      <c r="E285" s="8">
        <f>MAX(0, D285-40)</f>
        <v>0</v>
      </c>
      <c r="F285" s="7">
        <f>MIN(D285,40)*C285</f>
        <v>967.48199999999986</v>
      </c>
      <c r="G285" s="9">
        <f>E285 * C285 * 1.5</f>
        <v>0</v>
      </c>
      <c r="H285" s="7">
        <f>F285+G285</f>
        <v>967.48199999999986</v>
      </c>
      <c r="I285" s="7">
        <f>MAX(0,
IF(H285&lt;=800,
H285*0.2,
800*0.2+(H285-800)*0.4
)-70
)</f>
        <v>156.99279999999993</v>
      </c>
      <c r="J285" s="7">
        <f>IF(H285&lt;=231,
H285*0.005,
IF(H285&lt;=693,
231*0.005+(H285-231)*0.02,
231*0.005+462*0.02+(H285-693)*0.045
))</f>
        <v>22.746689999999994</v>
      </c>
      <c r="K285" s="7">
        <f>H285*0.04</f>
        <v>38.699279999999995</v>
      </c>
      <c r="L285" s="7">
        <f>I285+J285+K285</f>
        <v>218.43876999999992</v>
      </c>
      <c r="M285" s="7">
        <f>H285-L285</f>
        <v>749.04322999999999</v>
      </c>
    </row>
    <row r="286" spans="1:13" x14ac:dyDescent="0.3">
      <c r="A286" t="s">
        <v>369</v>
      </c>
      <c r="B286" t="s">
        <v>13</v>
      </c>
      <c r="C286" s="7">
        <v>22.5</v>
      </c>
      <c r="D286" s="8">
        <v>42</v>
      </c>
      <c r="E286" s="8">
        <f>MAX(0, D286-40)</f>
        <v>2</v>
      </c>
      <c r="F286" s="7">
        <f>MIN(D286,40)*C286</f>
        <v>900</v>
      </c>
      <c r="G286" s="9">
        <f>E286 * C286 * 1.5</f>
        <v>67.5</v>
      </c>
      <c r="H286" s="7">
        <f>F286+G286</f>
        <v>967.5</v>
      </c>
      <c r="I286" s="7">
        <f>MAX(0,
IF(H286&lt;=800,
H286*0.2,
800*0.2+(H286-800)*0.4
)-70
)</f>
        <v>157</v>
      </c>
      <c r="J286" s="7">
        <f>IF(H286&lt;=231,
H286*0.005,
IF(H286&lt;=693,
231*0.005+(H286-231)*0.02,
231*0.005+462*0.02+(H286-693)*0.045
))</f>
        <v>22.747499999999999</v>
      </c>
      <c r="K286" s="7">
        <f>H286*0.04</f>
        <v>38.700000000000003</v>
      </c>
      <c r="L286" s="7">
        <f>I286+J286+K286</f>
        <v>218.44749999999999</v>
      </c>
      <c r="M286" s="7">
        <f>H286-L286</f>
        <v>749.05250000000001</v>
      </c>
    </row>
    <row r="287" spans="1:13" x14ac:dyDescent="0.3">
      <c r="A287" t="s">
        <v>186</v>
      </c>
      <c r="B287" t="s">
        <v>125</v>
      </c>
      <c r="C287" s="7">
        <v>23.29</v>
      </c>
      <c r="D287" s="8">
        <v>41.1</v>
      </c>
      <c r="E287" s="8">
        <f>MAX(0, D287-40)</f>
        <v>1.1000000000000014</v>
      </c>
      <c r="F287" s="7">
        <f>MIN(D287,40)*C287</f>
        <v>931.59999999999991</v>
      </c>
      <c r="G287" s="9">
        <f>E287 * C287 * 1.5</f>
        <v>38.428500000000049</v>
      </c>
      <c r="H287" s="7">
        <f>F287+G287</f>
        <v>970.02850000000001</v>
      </c>
      <c r="I287" s="7">
        <f>MAX(0,
IF(H287&lt;=800,
H287*0.2,
800*0.2+(H287-800)*0.4
)-70
)</f>
        <v>158.01140000000001</v>
      </c>
      <c r="J287" s="7">
        <f>IF(H287&lt;=231,
H287*0.005,
IF(H287&lt;=693,
231*0.005+(H287-231)*0.02,
231*0.005+462*0.02+(H287-693)*0.045
))</f>
        <v>22.861282500000002</v>
      </c>
      <c r="K287" s="7">
        <f>H287*0.04</f>
        <v>38.801140000000004</v>
      </c>
      <c r="L287" s="7">
        <f>I287+J287+K287</f>
        <v>219.6738225</v>
      </c>
      <c r="M287" s="7">
        <f>H287-L287</f>
        <v>750.35467749999998</v>
      </c>
    </row>
    <row r="288" spans="1:13" x14ac:dyDescent="0.3">
      <c r="A288" t="s">
        <v>397</v>
      </c>
      <c r="B288" t="s">
        <v>123</v>
      </c>
      <c r="C288" s="7">
        <v>20.5</v>
      </c>
      <c r="D288" s="8">
        <v>44.9</v>
      </c>
      <c r="E288" s="8">
        <f>MAX(0, D288-40)</f>
        <v>4.8999999999999986</v>
      </c>
      <c r="F288" s="7">
        <f>MIN(D288,40)*C288</f>
        <v>820</v>
      </c>
      <c r="G288" s="9">
        <f>E288 * C288 * 1.5</f>
        <v>150.67499999999995</v>
      </c>
      <c r="H288" s="7">
        <f>F288+G288</f>
        <v>970.67499999999995</v>
      </c>
      <c r="I288" s="7">
        <f>MAX(0,
IF(H288&lt;=800,
H288*0.2,
800*0.2+(H288-800)*0.4
)-70
)</f>
        <v>158.26999999999998</v>
      </c>
      <c r="J288" s="7">
        <f>IF(H288&lt;=231,
H288*0.005,
IF(H288&lt;=693,
231*0.005+(H288-231)*0.02,
231*0.005+462*0.02+(H288-693)*0.045
))</f>
        <v>22.890374999999999</v>
      </c>
      <c r="K288" s="7">
        <f>H288*0.04</f>
        <v>38.826999999999998</v>
      </c>
      <c r="L288" s="7">
        <f>I288+J288+K288</f>
        <v>219.98737499999999</v>
      </c>
      <c r="M288" s="7">
        <f>H288-L288</f>
        <v>750.68762500000003</v>
      </c>
    </row>
    <row r="289" spans="1:13" x14ac:dyDescent="0.3">
      <c r="A289" t="s">
        <v>311</v>
      </c>
      <c r="B289" t="s">
        <v>49</v>
      </c>
      <c r="C289" s="7">
        <v>25.09</v>
      </c>
      <c r="D289" s="8">
        <v>38.700000000000003</v>
      </c>
      <c r="E289" s="8">
        <f>MAX(0, D289-40)</f>
        <v>0</v>
      </c>
      <c r="F289" s="7">
        <f>MIN(D289,40)*C289</f>
        <v>970.98300000000006</v>
      </c>
      <c r="G289" s="9">
        <f>E289 * C289 * 1.5</f>
        <v>0</v>
      </c>
      <c r="H289" s="7">
        <f>F289+G289</f>
        <v>970.98300000000006</v>
      </c>
      <c r="I289" s="7">
        <f>MAX(0,
IF(H289&lt;=800,
H289*0.2,
800*0.2+(H289-800)*0.4
)-70
)</f>
        <v>158.39320000000004</v>
      </c>
      <c r="J289" s="7">
        <f>IF(H289&lt;=231,
H289*0.005,
IF(H289&lt;=693,
231*0.005+(H289-231)*0.02,
231*0.005+462*0.02+(H289-693)*0.045
))</f>
        <v>22.904235</v>
      </c>
      <c r="K289" s="7">
        <f>H289*0.04</f>
        <v>38.839320000000001</v>
      </c>
      <c r="L289" s="7">
        <f>I289+J289+K289</f>
        <v>220.13675500000005</v>
      </c>
      <c r="M289" s="7">
        <f>H289-L289</f>
        <v>750.84624499999995</v>
      </c>
    </row>
    <row r="290" spans="1:13" x14ac:dyDescent="0.3">
      <c r="A290" t="s">
        <v>185</v>
      </c>
      <c r="B290" t="s">
        <v>73</v>
      </c>
      <c r="C290" s="7">
        <v>23.32</v>
      </c>
      <c r="D290" s="8">
        <v>41.1</v>
      </c>
      <c r="E290" s="8">
        <f>MAX(0, D290-40)</f>
        <v>1.1000000000000014</v>
      </c>
      <c r="F290" s="7">
        <f>MIN(D290,40)*C290</f>
        <v>932.8</v>
      </c>
      <c r="G290" s="9">
        <f>E290 * C290 * 1.5</f>
        <v>38.478000000000051</v>
      </c>
      <c r="H290" s="7">
        <f>F290+G290</f>
        <v>971.27800000000002</v>
      </c>
      <c r="I290" s="7">
        <f>MAX(0,
IF(H290&lt;=800,
H290*0.2,
800*0.2+(H290-800)*0.4
)-70
)</f>
        <v>158.51120000000003</v>
      </c>
      <c r="J290" s="7">
        <f>IF(H290&lt;=231,
H290*0.005,
IF(H290&lt;=693,
231*0.005+(H290-231)*0.02,
231*0.005+462*0.02+(H290-693)*0.045
))</f>
        <v>22.91751</v>
      </c>
      <c r="K290" s="7">
        <f>H290*0.04</f>
        <v>38.851120000000002</v>
      </c>
      <c r="L290" s="7">
        <f>I290+J290+K290</f>
        <v>220.27983000000003</v>
      </c>
      <c r="M290" s="7">
        <f>H290-L290</f>
        <v>750.99816999999996</v>
      </c>
    </row>
    <row r="291" spans="1:13" x14ac:dyDescent="0.3">
      <c r="A291" t="s">
        <v>247</v>
      </c>
      <c r="B291" t="s">
        <v>11</v>
      </c>
      <c r="C291" s="7">
        <v>21.62</v>
      </c>
      <c r="D291" s="8">
        <v>43.3</v>
      </c>
      <c r="E291" s="8">
        <f>MAX(0, D291-40)</f>
        <v>3.2999999999999972</v>
      </c>
      <c r="F291" s="7">
        <f>MIN(D291,40)*C291</f>
        <v>864.80000000000007</v>
      </c>
      <c r="G291" s="9">
        <f>E291 * C291 * 1.5</f>
        <v>107.01899999999992</v>
      </c>
      <c r="H291" s="7">
        <f>F291+G291</f>
        <v>971.81899999999996</v>
      </c>
      <c r="I291" s="7">
        <f>MAX(0,
IF(H291&lt;=800,
H291*0.2,
800*0.2+(H291-800)*0.4
)-70
)</f>
        <v>158.7276</v>
      </c>
      <c r="J291" s="7">
        <f>IF(H291&lt;=231,
H291*0.005,
IF(H291&lt;=693,
231*0.005+(H291-231)*0.02,
231*0.005+462*0.02+(H291-693)*0.045
))</f>
        <v>22.941854999999997</v>
      </c>
      <c r="K291" s="7">
        <f>H291*0.04</f>
        <v>38.87276</v>
      </c>
      <c r="L291" s="7">
        <f>I291+J291+K291</f>
        <v>220.542215</v>
      </c>
      <c r="M291" s="7">
        <f>H291-L291</f>
        <v>751.27678500000002</v>
      </c>
    </row>
    <row r="292" spans="1:13" x14ac:dyDescent="0.3">
      <c r="A292" t="s">
        <v>355</v>
      </c>
      <c r="B292" t="s">
        <v>25</v>
      </c>
      <c r="C292" s="7">
        <v>24.82</v>
      </c>
      <c r="D292" s="8">
        <v>39.200000000000003</v>
      </c>
      <c r="E292" s="8">
        <f>MAX(0, D292-40)</f>
        <v>0</v>
      </c>
      <c r="F292" s="7">
        <f>MIN(D292,40)*C292</f>
        <v>972.94400000000007</v>
      </c>
      <c r="G292" s="9">
        <f>E292 * C292 * 1.5</f>
        <v>0</v>
      </c>
      <c r="H292" s="7">
        <f>F292+G292</f>
        <v>972.94400000000007</v>
      </c>
      <c r="I292" s="7">
        <f>MAX(0,
IF(H292&lt;=800,
H292*0.2,
800*0.2+(H292-800)*0.4
)-70
)</f>
        <v>159.17760000000004</v>
      </c>
      <c r="J292" s="7">
        <f>IF(H292&lt;=231,
H292*0.005,
IF(H292&lt;=693,
231*0.005+(H292-231)*0.02,
231*0.005+462*0.02+(H292-693)*0.045
))</f>
        <v>22.99248</v>
      </c>
      <c r="K292" s="7">
        <f>H292*0.04</f>
        <v>38.917760000000001</v>
      </c>
      <c r="L292" s="7">
        <f>I292+J292+K292</f>
        <v>221.08784000000003</v>
      </c>
      <c r="M292" s="7">
        <f>H292-L292</f>
        <v>751.85616000000005</v>
      </c>
    </row>
    <row r="293" spans="1:13" x14ac:dyDescent="0.3">
      <c r="A293" t="s">
        <v>278</v>
      </c>
      <c r="B293" t="s">
        <v>101</v>
      </c>
      <c r="C293" s="7">
        <v>25.41</v>
      </c>
      <c r="D293" s="8">
        <v>38.299999999999997</v>
      </c>
      <c r="E293" s="8">
        <f>MAX(0, D293-40)</f>
        <v>0</v>
      </c>
      <c r="F293" s="7">
        <f>MIN(D293,40)*C293</f>
        <v>973.20299999999997</v>
      </c>
      <c r="G293" s="9">
        <f>E293 * C293 * 1.5</f>
        <v>0</v>
      </c>
      <c r="H293" s="7">
        <f>F293+G293</f>
        <v>973.20299999999997</v>
      </c>
      <c r="I293" s="7">
        <f>MAX(0,
IF(H293&lt;=800,
H293*0.2,
800*0.2+(H293-800)*0.4
)-70
)</f>
        <v>159.28120000000001</v>
      </c>
      <c r="J293" s="7">
        <f>IF(H293&lt;=231,
H293*0.005,
IF(H293&lt;=693,
231*0.005+(H293-231)*0.02,
231*0.005+462*0.02+(H293-693)*0.045
))</f>
        <v>23.004134999999998</v>
      </c>
      <c r="K293" s="7">
        <f>H293*0.04</f>
        <v>38.92812</v>
      </c>
      <c r="L293" s="7">
        <f>I293+J293+K293</f>
        <v>221.21345500000001</v>
      </c>
      <c r="M293" s="7">
        <f>H293-L293</f>
        <v>751.98954499999991</v>
      </c>
    </row>
    <row r="294" spans="1:13" x14ac:dyDescent="0.3">
      <c r="A294" t="s">
        <v>85</v>
      </c>
      <c r="B294" t="s">
        <v>123</v>
      </c>
      <c r="C294" s="7">
        <v>22.31</v>
      </c>
      <c r="D294" s="8">
        <v>42.5</v>
      </c>
      <c r="E294" s="8">
        <f>MAX(0, D294-40)</f>
        <v>2.5</v>
      </c>
      <c r="F294" s="7">
        <f>MIN(D294,40)*C294</f>
        <v>892.4</v>
      </c>
      <c r="G294" s="9">
        <f>E294 * C294 * 1.5</f>
        <v>83.662499999999994</v>
      </c>
      <c r="H294" s="7">
        <f>F294+G294</f>
        <v>976.0625</v>
      </c>
      <c r="I294" s="7">
        <f>MAX(0,
IF(H294&lt;=800,
H294*0.2,
800*0.2+(H294-800)*0.4
)-70
)</f>
        <v>160.42500000000001</v>
      </c>
      <c r="J294" s="7">
        <f>IF(H294&lt;=231,
H294*0.005,
IF(H294&lt;=693,
231*0.005+(H294-231)*0.02,
231*0.005+462*0.02+(H294-693)*0.045
))</f>
        <v>23.1328125</v>
      </c>
      <c r="K294" s="7">
        <f>H294*0.04</f>
        <v>39.042500000000004</v>
      </c>
      <c r="L294" s="7">
        <f>I294+J294+K294</f>
        <v>222.60031250000003</v>
      </c>
      <c r="M294" s="7">
        <f>H294-L294</f>
        <v>753.46218750000003</v>
      </c>
    </row>
    <row r="295" spans="1:13" x14ac:dyDescent="0.3">
      <c r="A295" t="s">
        <v>287</v>
      </c>
      <c r="B295" t="s">
        <v>125</v>
      </c>
      <c r="C295" s="7">
        <v>22.55</v>
      </c>
      <c r="D295" s="8">
        <v>42.2</v>
      </c>
      <c r="E295" s="8">
        <f>MAX(0, D295-40)</f>
        <v>2.2000000000000028</v>
      </c>
      <c r="F295" s="7">
        <f>MIN(D295,40)*C295</f>
        <v>902</v>
      </c>
      <c r="G295" s="9">
        <f>E295 * C295 * 1.5</f>
        <v>74.415000000000092</v>
      </c>
      <c r="H295" s="7">
        <f>F295+G295</f>
        <v>976.41500000000008</v>
      </c>
      <c r="I295" s="7">
        <f>MAX(0,
IF(H295&lt;=800,
H295*0.2,
800*0.2+(H295-800)*0.4
)-70
)</f>
        <v>160.56600000000003</v>
      </c>
      <c r="J295" s="7">
        <f>IF(H295&lt;=231,
H295*0.005,
IF(H295&lt;=693,
231*0.005+(H295-231)*0.02,
231*0.005+462*0.02+(H295-693)*0.045
))</f>
        <v>23.148675000000004</v>
      </c>
      <c r="K295" s="7">
        <f>H295*0.04</f>
        <v>39.056600000000003</v>
      </c>
      <c r="L295" s="7">
        <f>I295+J295+K295</f>
        <v>222.77127500000003</v>
      </c>
      <c r="M295" s="7">
        <f>H295-L295</f>
        <v>753.64372500000002</v>
      </c>
    </row>
    <row r="296" spans="1:13" x14ac:dyDescent="0.3">
      <c r="A296" t="s">
        <v>224</v>
      </c>
      <c r="B296" t="s">
        <v>11</v>
      </c>
      <c r="C296" s="7">
        <v>21.42</v>
      </c>
      <c r="D296" s="8">
        <v>43.8</v>
      </c>
      <c r="E296" s="8">
        <f>MAX(0, D296-40)</f>
        <v>3.7999999999999972</v>
      </c>
      <c r="F296" s="7">
        <f>MIN(D296,40)*C296</f>
        <v>856.80000000000007</v>
      </c>
      <c r="G296" s="9">
        <f>E296 * C296 * 1.5</f>
        <v>122.09399999999991</v>
      </c>
      <c r="H296" s="7">
        <f>F296+G296</f>
        <v>978.89400000000001</v>
      </c>
      <c r="I296" s="7">
        <f>MAX(0,
IF(H296&lt;=800,
H296*0.2,
800*0.2+(H296-800)*0.4
)-70
)</f>
        <v>161.55760000000001</v>
      </c>
      <c r="J296" s="7">
        <f>IF(H296&lt;=231,
H296*0.005,
IF(H296&lt;=693,
231*0.005+(H296-231)*0.02,
231*0.005+462*0.02+(H296-693)*0.045
))</f>
        <v>23.26023</v>
      </c>
      <c r="K296" s="7">
        <f>H296*0.04</f>
        <v>39.155760000000001</v>
      </c>
      <c r="L296" s="7">
        <f>I296+J296+K296</f>
        <v>223.97359</v>
      </c>
      <c r="M296" s="7">
        <f>H296-L296</f>
        <v>754.92040999999995</v>
      </c>
    </row>
    <row r="297" spans="1:13" x14ac:dyDescent="0.3">
      <c r="A297" t="s">
        <v>323</v>
      </c>
      <c r="B297" t="s">
        <v>43</v>
      </c>
      <c r="C297" s="7">
        <v>22.69</v>
      </c>
      <c r="D297" s="8">
        <v>42.1</v>
      </c>
      <c r="E297" s="8">
        <f>MAX(0, D297-40)</f>
        <v>2.1000000000000014</v>
      </c>
      <c r="F297" s="7">
        <f>MIN(D297,40)*C297</f>
        <v>907.6</v>
      </c>
      <c r="G297" s="9">
        <f>E297 * C297 * 1.5</f>
        <v>71.473500000000058</v>
      </c>
      <c r="H297" s="7">
        <f>F297+G297</f>
        <v>979.07350000000008</v>
      </c>
      <c r="I297" s="7">
        <f>MAX(0,
IF(H297&lt;=800,
H297*0.2,
800*0.2+(H297-800)*0.4
)-70
)</f>
        <v>161.62940000000003</v>
      </c>
      <c r="J297" s="7">
        <f>IF(H297&lt;=231,
H297*0.005,
IF(H297&lt;=693,
231*0.005+(H297-231)*0.02,
231*0.005+462*0.02+(H297-693)*0.045
))</f>
        <v>23.268307500000002</v>
      </c>
      <c r="K297" s="7">
        <f>H297*0.04</f>
        <v>39.162940000000006</v>
      </c>
      <c r="L297" s="7">
        <f>I297+J297+K297</f>
        <v>224.06064750000002</v>
      </c>
      <c r="M297" s="7">
        <f>H297-L297</f>
        <v>755.01285250000001</v>
      </c>
    </row>
    <row r="298" spans="1:13" x14ac:dyDescent="0.3">
      <c r="A298" t="s">
        <v>449</v>
      </c>
      <c r="B298" t="s">
        <v>57</v>
      </c>
      <c r="C298" s="7">
        <v>26.91</v>
      </c>
      <c r="D298" s="8">
        <v>36.4</v>
      </c>
      <c r="E298" s="8">
        <f>MAX(0, D298-40)</f>
        <v>0</v>
      </c>
      <c r="F298" s="7">
        <f>MIN(D298,40)*C298</f>
        <v>979.524</v>
      </c>
      <c r="G298" s="9">
        <f>E298 * C298 * 1.5</f>
        <v>0</v>
      </c>
      <c r="H298" s="7">
        <f>F298+G298</f>
        <v>979.524</v>
      </c>
      <c r="I298" s="7">
        <f>MAX(0,
IF(H298&lt;=800,
H298*0.2,
800*0.2+(H298-800)*0.4
)-70
)</f>
        <v>161.80959999999999</v>
      </c>
      <c r="J298" s="7">
        <f>IF(H298&lt;=231,
H298*0.005,
IF(H298&lt;=693,
231*0.005+(H298-231)*0.02,
231*0.005+462*0.02+(H298-693)*0.045
))</f>
        <v>23.28858</v>
      </c>
      <c r="K298" s="7">
        <f>H298*0.04</f>
        <v>39.180959999999999</v>
      </c>
      <c r="L298" s="7">
        <f>I298+J298+K298</f>
        <v>224.27913999999998</v>
      </c>
      <c r="M298" s="7">
        <f>H298-L298</f>
        <v>755.24486000000002</v>
      </c>
    </row>
    <row r="299" spans="1:13" x14ac:dyDescent="0.3">
      <c r="A299" t="s">
        <v>33</v>
      </c>
      <c r="B299" t="s">
        <v>29</v>
      </c>
      <c r="C299" s="7">
        <v>26.07</v>
      </c>
      <c r="D299" s="8">
        <v>37.6</v>
      </c>
      <c r="E299" s="8">
        <f>MAX(0, D299-40)</f>
        <v>0</v>
      </c>
      <c r="F299" s="7">
        <f>MIN(D299,40)*C299</f>
        <v>980.23200000000008</v>
      </c>
      <c r="G299" s="9">
        <f>E299 * C299 * 1.5</f>
        <v>0</v>
      </c>
      <c r="H299" s="7">
        <f>F299+G299</f>
        <v>980.23200000000008</v>
      </c>
      <c r="I299" s="7">
        <f>MAX(0,
IF(H299&lt;=800,
H299*0.2,
800*0.2+(H299-800)*0.4
)-70
)</f>
        <v>162.09280000000004</v>
      </c>
      <c r="J299" s="7">
        <f>IF(H299&lt;=231,
H299*0.005,
IF(H299&lt;=693,
231*0.005+(H299-231)*0.02,
231*0.005+462*0.02+(H299-693)*0.045
))</f>
        <v>23.320440000000005</v>
      </c>
      <c r="K299" s="7">
        <f>H299*0.04</f>
        <v>39.209280000000007</v>
      </c>
      <c r="L299" s="7">
        <f>I299+J299+K299</f>
        <v>224.62252000000004</v>
      </c>
      <c r="M299" s="7">
        <f>H299-L299</f>
        <v>755.60948000000008</v>
      </c>
    </row>
    <row r="300" spans="1:13" x14ac:dyDescent="0.3">
      <c r="A300" t="s">
        <v>198</v>
      </c>
      <c r="B300" t="s">
        <v>27</v>
      </c>
      <c r="C300" s="7">
        <v>22.9</v>
      </c>
      <c r="D300" s="8">
        <v>41.9</v>
      </c>
      <c r="E300" s="8">
        <f>MAX(0, D300-40)</f>
        <v>1.8999999999999986</v>
      </c>
      <c r="F300" s="7">
        <f>MIN(D300,40)*C300</f>
        <v>916</v>
      </c>
      <c r="G300" s="9">
        <f>E300 * C300 * 1.5</f>
        <v>65.264999999999944</v>
      </c>
      <c r="H300" s="7">
        <f>F300+G300</f>
        <v>981.26499999999999</v>
      </c>
      <c r="I300" s="7">
        <f>MAX(0,
IF(H300&lt;=800,
H300*0.2,
800*0.2+(H300-800)*0.4
)-70
)</f>
        <v>162.506</v>
      </c>
      <c r="J300" s="7">
        <f>IF(H300&lt;=231,
H300*0.005,
IF(H300&lt;=693,
231*0.005+(H300-231)*0.02,
231*0.005+462*0.02+(H300-693)*0.045
))</f>
        <v>23.366924999999998</v>
      </c>
      <c r="K300" s="7">
        <f>H300*0.04</f>
        <v>39.250599999999999</v>
      </c>
      <c r="L300" s="7">
        <f>I300+J300+K300</f>
        <v>225.123525</v>
      </c>
      <c r="M300" s="7">
        <f>H300-L300</f>
        <v>756.14147500000001</v>
      </c>
    </row>
    <row r="301" spans="1:13" x14ac:dyDescent="0.3">
      <c r="A301" t="s">
        <v>411</v>
      </c>
      <c r="B301" t="s">
        <v>123</v>
      </c>
      <c r="C301" s="7">
        <v>24.03</v>
      </c>
      <c r="D301" s="8">
        <v>40.6</v>
      </c>
      <c r="E301" s="8">
        <f>MAX(0, D301-40)</f>
        <v>0.60000000000000142</v>
      </c>
      <c r="F301" s="7">
        <f>MIN(D301,40)*C301</f>
        <v>961.2</v>
      </c>
      <c r="G301" s="9">
        <f>E301 * C301 * 1.5</f>
        <v>21.627000000000052</v>
      </c>
      <c r="H301" s="7">
        <f>F301+G301</f>
        <v>982.82700000000011</v>
      </c>
      <c r="I301" s="7">
        <f>MAX(0,
IF(H301&lt;=800,
H301*0.2,
800*0.2+(H301-800)*0.4
)-70
)</f>
        <v>163.13080000000005</v>
      </c>
      <c r="J301" s="7">
        <f>IF(H301&lt;=231,
H301*0.005,
IF(H301&lt;=693,
231*0.005+(H301-231)*0.02,
231*0.005+462*0.02+(H301-693)*0.045
))</f>
        <v>23.437215000000002</v>
      </c>
      <c r="K301" s="7">
        <f>H301*0.04</f>
        <v>39.313080000000006</v>
      </c>
      <c r="L301" s="7">
        <f>I301+J301+K301</f>
        <v>225.88109500000007</v>
      </c>
      <c r="M301" s="7">
        <f>H301-L301</f>
        <v>756.94590500000004</v>
      </c>
    </row>
    <row r="302" spans="1:13" x14ac:dyDescent="0.3">
      <c r="A302" t="s">
        <v>273</v>
      </c>
      <c r="B302" t="s">
        <v>27</v>
      </c>
      <c r="C302" s="7">
        <v>21.66</v>
      </c>
      <c r="D302" s="8">
        <v>43.6</v>
      </c>
      <c r="E302" s="8">
        <f>MAX(0, D302-40)</f>
        <v>3.6000000000000014</v>
      </c>
      <c r="F302" s="7">
        <f>MIN(D302,40)*C302</f>
        <v>866.4</v>
      </c>
      <c r="G302" s="9">
        <f>E302 * C302 * 1.5</f>
        <v>116.96400000000004</v>
      </c>
      <c r="H302" s="7">
        <f>F302+G302</f>
        <v>983.36400000000003</v>
      </c>
      <c r="I302" s="7">
        <f>MAX(0,
IF(H302&lt;=800,
H302*0.2,
800*0.2+(H302-800)*0.4
)-70
)</f>
        <v>163.34560000000002</v>
      </c>
      <c r="J302" s="7">
        <f>IF(H302&lt;=231,
H302*0.005,
IF(H302&lt;=693,
231*0.005+(H302-231)*0.02,
231*0.005+462*0.02+(H302-693)*0.045
))</f>
        <v>23.461379999999998</v>
      </c>
      <c r="K302" s="7">
        <f>H302*0.04</f>
        <v>39.334560000000003</v>
      </c>
      <c r="L302" s="7">
        <f>I302+J302+K302</f>
        <v>226.14154000000002</v>
      </c>
      <c r="M302" s="7">
        <f>H302-L302</f>
        <v>757.22245999999996</v>
      </c>
    </row>
    <row r="303" spans="1:13" x14ac:dyDescent="0.3">
      <c r="A303" t="s">
        <v>82</v>
      </c>
      <c r="B303" t="s">
        <v>9</v>
      </c>
      <c r="C303" s="7">
        <v>22.87</v>
      </c>
      <c r="D303" s="8">
        <v>42</v>
      </c>
      <c r="E303" s="8">
        <f>MAX(0, D303-40)</f>
        <v>2</v>
      </c>
      <c r="F303" s="7">
        <f>MIN(D303,40)*C303</f>
        <v>914.80000000000007</v>
      </c>
      <c r="G303" s="9">
        <f>E303 * C303 * 1.5</f>
        <v>68.61</v>
      </c>
      <c r="H303" s="7">
        <f>F303+G303</f>
        <v>983.41000000000008</v>
      </c>
      <c r="I303" s="7">
        <f>MAX(0,
IF(H303&lt;=800,
H303*0.2,
800*0.2+(H303-800)*0.4
)-70
)</f>
        <v>163.36400000000003</v>
      </c>
      <c r="J303" s="7">
        <f>IF(H303&lt;=231,
H303*0.005,
IF(H303&lt;=693,
231*0.005+(H303-231)*0.02,
231*0.005+462*0.02+(H303-693)*0.045
))</f>
        <v>23.463450000000002</v>
      </c>
      <c r="K303" s="7">
        <f>H303*0.04</f>
        <v>39.336400000000005</v>
      </c>
      <c r="L303" s="7">
        <f>I303+J303+K303</f>
        <v>226.16385000000002</v>
      </c>
      <c r="M303" s="7">
        <f>H303-L303</f>
        <v>757.24615000000006</v>
      </c>
    </row>
    <row r="304" spans="1:13" x14ac:dyDescent="0.3">
      <c r="A304" t="s">
        <v>456</v>
      </c>
      <c r="B304" t="s">
        <v>57</v>
      </c>
      <c r="C304" s="7">
        <v>22.06</v>
      </c>
      <c r="D304" s="8">
        <v>43.1</v>
      </c>
      <c r="E304" s="8">
        <f>MAX(0, D304-40)</f>
        <v>3.1000000000000014</v>
      </c>
      <c r="F304" s="7">
        <f>MIN(D304,40)*C304</f>
        <v>882.4</v>
      </c>
      <c r="G304" s="9">
        <f>E304 * C304 * 1.5</f>
        <v>102.57900000000004</v>
      </c>
      <c r="H304" s="7">
        <f>F304+G304</f>
        <v>984.97900000000004</v>
      </c>
      <c r="I304" s="7">
        <f>MAX(0,
IF(H304&lt;=800,
H304*0.2,
800*0.2+(H304-800)*0.4
)-70
)</f>
        <v>163.99160000000001</v>
      </c>
      <c r="J304" s="7">
        <f>IF(H304&lt;=231,
H304*0.005,
IF(H304&lt;=693,
231*0.005+(H304-231)*0.02,
231*0.005+462*0.02+(H304-693)*0.045
))</f>
        <v>23.534055000000002</v>
      </c>
      <c r="K304" s="7">
        <f>H304*0.04</f>
        <v>39.399160000000002</v>
      </c>
      <c r="L304" s="7">
        <f>I304+J304+K304</f>
        <v>226.924815</v>
      </c>
      <c r="M304" s="7">
        <f>H304-L304</f>
        <v>758.05418500000007</v>
      </c>
    </row>
    <row r="305" spans="1:13" x14ac:dyDescent="0.3">
      <c r="A305" t="s">
        <v>223</v>
      </c>
      <c r="B305" t="s">
        <v>7</v>
      </c>
      <c r="C305" s="7">
        <v>22.06</v>
      </c>
      <c r="D305" s="8">
        <v>43.2</v>
      </c>
      <c r="E305" s="8">
        <f>MAX(0, D305-40)</f>
        <v>3.2000000000000028</v>
      </c>
      <c r="F305" s="7">
        <f>MIN(D305,40)*C305</f>
        <v>882.4</v>
      </c>
      <c r="G305" s="9">
        <f>E305 * C305 * 1.5</f>
        <v>105.88800000000009</v>
      </c>
      <c r="H305" s="7">
        <f>F305+G305</f>
        <v>988.28800000000001</v>
      </c>
      <c r="I305" s="7">
        <f>MAX(0,
IF(H305&lt;=800,
H305*0.2,
800*0.2+(H305-800)*0.4
)-70
)</f>
        <v>165.3152</v>
      </c>
      <c r="J305" s="7">
        <f>IF(H305&lt;=231,
H305*0.005,
IF(H305&lt;=693,
231*0.005+(H305-231)*0.02,
231*0.005+462*0.02+(H305-693)*0.045
))</f>
        <v>23.682960000000001</v>
      </c>
      <c r="K305" s="7">
        <f>H305*0.04</f>
        <v>39.53152</v>
      </c>
      <c r="L305" s="7">
        <f>I305+J305+K305</f>
        <v>228.52968000000001</v>
      </c>
      <c r="M305" s="7">
        <f>H305-L305</f>
        <v>759.75832000000003</v>
      </c>
    </row>
    <row r="306" spans="1:13" x14ac:dyDescent="0.3">
      <c r="A306" t="s">
        <v>178</v>
      </c>
      <c r="B306" t="s">
        <v>49</v>
      </c>
      <c r="C306" s="7">
        <v>24.81</v>
      </c>
      <c r="D306" s="8">
        <v>39.9</v>
      </c>
      <c r="E306" s="8">
        <f>MAX(0, D306-40)</f>
        <v>0</v>
      </c>
      <c r="F306" s="7">
        <f>MIN(D306,40)*C306</f>
        <v>989.91899999999987</v>
      </c>
      <c r="G306" s="9">
        <f>E306 * C306 * 1.5</f>
        <v>0</v>
      </c>
      <c r="H306" s="7">
        <f>F306+G306</f>
        <v>989.91899999999987</v>
      </c>
      <c r="I306" s="7">
        <f>MAX(0,
IF(H306&lt;=800,
H306*0.2,
800*0.2+(H306-800)*0.4
)-70
)</f>
        <v>165.96759999999995</v>
      </c>
      <c r="J306" s="7">
        <f>IF(H306&lt;=231,
H306*0.005,
IF(H306&lt;=693,
231*0.005+(H306-231)*0.02,
231*0.005+462*0.02+(H306-693)*0.045
))</f>
        <v>23.756354999999992</v>
      </c>
      <c r="K306" s="7">
        <f>H306*0.04</f>
        <v>39.596759999999996</v>
      </c>
      <c r="L306" s="7">
        <f>I306+J306+K306</f>
        <v>229.32071499999992</v>
      </c>
      <c r="M306" s="7">
        <f>H306-L306</f>
        <v>760.59828499999992</v>
      </c>
    </row>
    <row r="307" spans="1:13" x14ac:dyDescent="0.3">
      <c r="A307" t="s">
        <v>112</v>
      </c>
      <c r="B307" t="s">
        <v>5</v>
      </c>
      <c r="C307" s="7">
        <v>23.8</v>
      </c>
      <c r="D307" s="8">
        <v>41.1</v>
      </c>
      <c r="E307" s="8">
        <f>MAX(0, D307-40)</f>
        <v>1.1000000000000014</v>
      </c>
      <c r="F307" s="7">
        <f>MIN(D307,40)*C307</f>
        <v>952</v>
      </c>
      <c r="G307" s="9">
        <f>E307 * C307 * 1.5</f>
        <v>39.270000000000053</v>
      </c>
      <c r="H307" s="7">
        <f>F307+G307</f>
        <v>991.2700000000001</v>
      </c>
      <c r="I307" s="7">
        <f>MAX(0,
IF(H307&lt;=800,
H307*0.2,
800*0.2+(H307-800)*0.4
)-70
)</f>
        <v>166.50800000000004</v>
      </c>
      <c r="J307" s="7">
        <f>IF(H307&lt;=231,
H307*0.005,
IF(H307&lt;=693,
231*0.005+(H307-231)*0.02,
231*0.005+462*0.02+(H307-693)*0.045
))</f>
        <v>23.817150000000005</v>
      </c>
      <c r="K307" s="7">
        <f>H307*0.04</f>
        <v>39.650800000000004</v>
      </c>
      <c r="L307" s="7">
        <f>I307+J307+K307</f>
        <v>229.97595000000004</v>
      </c>
      <c r="M307" s="7">
        <f>H307-L307</f>
        <v>761.29405000000008</v>
      </c>
    </row>
    <row r="308" spans="1:13" x14ac:dyDescent="0.3">
      <c r="A308" t="s">
        <v>22</v>
      </c>
      <c r="B308" t="s">
        <v>23</v>
      </c>
      <c r="C308" s="7">
        <v>23.56</v>
      </c>
      <c r="D308" s="8">
        <v>41.4</v>
      </c>
      <c r="E308" s="8">
        <f>MAX(0, D308-40)</f>
        <v>1.3999999999999986</v>
      </c>
      <c r="F308" s="7">
        <f>MIN(D308,40)*C308</f>
        <v>942.4</v>
      </c>
      <c r="G308" s="9">
        <f>E308 * C308 * 1.5</f>
        <v>49.475999999999949</v>
      </c>
      <c r="H308" s="7">
        <f>F308+G308</f>
        <v>991.87599999999998</v>
      </c>
      <c r="I308" s="7">
        <f>MAX(0,
IF(H308&lt;=800,
H308*0.2,
800*0.2+(H308-800)*0.4
)-70
)</f>
        <v>166.75040000000001</v>
      </c>
      <c r="J308" s="7">
        <f>IF(H308&lt;=231,
H308*0.005,
IF(H308&lt;=693,
231*0.005+(H308-231)*0.02,
231*0.005+462*0.02+(H308-693)*0.045
))</f>
        <v>23.84442</v>
      </c>
      <c r="K308" s="7">
        <f>H308*0.04</f>
        <v>39.675040000000003</v>
      </c>
      <c r="L308" s="7">
        <f>I308+J308+K308</f>
        <v>230.26986000000002</v>
      </c>
      <c r="M308" s="7">
        <f>H308-L308</f>
        <v>761.60613999999998</v>
      </c>
    </row>
    <row r="309" spans="1:13" x14ac:dyDescent="0.3">
      <c r="A309" t="s">
        <v>431</v>
      </c>
      <c r="B309" t="s">
        <v>209</v>
      </c>
      <c r="C309" s="7">
        <v>27.65</v>
      </c>
      <c r="D309" s="8">
        <v>35.9</v>
      </c>
      <c r="E309" s="8">
        <f>MAX(0, D309-40)</f>
        <v>0</v>
      </c>
      <c r="F309" s="7">
        <f>MIN(D309,40)*C309</f>
        <v>992.63499999999988</v>
      </c>
      <c r="G309" s="9">
        <f>E309 * C309 * 1.5</f>
        <v>0</v>
      </c>
      <c r="H309" s="7">
        <f>F309+G309</f>
        <v>992.63499999999988</v>
      </c>
      <c r="I309" s="7">
        <f>MAX(0,
IF(H309&lt;=800,
H309*0.2,
800*0.2+(H309-800)*0.4
)-70
)</f>
        <v>167.05399999999997</v>
      </c>
      <c r="J309" s="7">
        <f>IF(H309&lt;=231,
H309*0.005,
IF(H309&lt;=693,
231*0.005+(H309-231)*0.02,
231*0.005+462*0.02+(H309-693)*0.045
))</f>
        <v>23.878574999999994</v>
      </c>
      <c r="K309" s="7">
        <f>H309*0.04</f>
        <v>39.705399999999997</v>
      </c>
      <c r="L309" s="7">
        <f>I309+J309+K309</f>
        <v>230.63797499999995</v>
      </c>
      <c r="M309" s="7">
        <f>H309-L309</f>
        <v>761.99702499999989</v>
      </c>
    </row>
    <row r="310" spans="1:13" x14ac:dyDescent="0.3">
      <c r="A310" t="s">
        <v>409</v>
      </c>
      <c r="B310" t="s">
        <v>29</v>
      </c>
      <c r="C310" s="7">
        <v>25.33</v>
      </c>
      <c r="D310" s="8">
        <v>39.200000000000003</v>
      </c>
      <c r="E310" s="8">
        <f>MAX(0, D310-40)</f>
        <v>0</v>
      </c>
      <c r="F310" s="7">
        <f>MIN(D310,40)*C310</f>
        <v>992.93600000000004</v>
      </c>
      <c r="G310" s="9">
        <f>E310 * C310 * 1.5</f>
        <v>0</v>
      </c>
      <c r="H310" s="7">
        <f>F310+G310</f>
        <v>992.93600000000004</v>
      </c>
      <c r="I310" s="7">
        <f>MAX(0,
IF(H310&lt;=800,
H310*0.2,
800*0.2+(H310-800)*0.4
)-70
)</f>
        <v>167.17440000000002</v>
      </c>
      <c r="J310" s="7">
        <f>IF(H310&lt;=231,
H310*0.005,
IF(H310&lt;=693,
231*0.005+(H310-231)*0.02,
231*0.005+462*0.02+(H310-693)*0.045
))</f>
        <v>23.892119999999998</v>
      </c>
      <c r="K310" s="7">
        <f>H310*0.04</f>
        <v>39.717440000000003</v>
      </c>
      <c r="L310" s="7">
        <f>I310+J310+K310</f>
        <v>230.78396000000004</v>
      </c>
      <c r="M310" s="7">
        <f>H310-L310</f>
        <v>762.15203999999994</v>
      </c>
    </row>
    <row r="311" spans="1:13" x14ac:dyDescent="0.3">
      <c r="A311" t="s">
        <v>329</v>
      </c>
      <c r="B311" t="s">
        <v>49</v>
      </c>
      <c r="C311" s="7">
        <v>24.56</v>
      </c>
      <c r="D311" s="8">
        <v>40.299999999999997</v>
      </c>
      <c r="E311" s="8">
        <f>MAX(0, D311-40)</f>
        <v>0.29999999999999716</v>
      </c>
      <c r="F311" s="7">
        <f>MIN(D311,40)*C311</f>
        <v>982.4</v>
      </c>
      <c r="G311" s="9">
        <f>E311 * C311 * 1.5</f>
        <v>11.051999999999895</v>
      </c>
      <c r="H311" s="7">
        <f>F311+G311</f>
        <v>993.45199999999988</v>
      </c>
      <c r="I311" s="7">
        <f>MAX(0,
IF(H311&lt;=800,
H311*0.2,
800*0.2+(H311-800)*0.4
)-70
)</f>
        <v>167.38079999999997</v>
      </c>
      <c r="J311" s="7">
        <f>IF(H311&lt;=231,
H311*0.005,
IF(H311&lt;=693,
231*0.005+(H311-231)*0.02,
231*0.005+462*0.02+(H311-693)*0.045
))</f>
        <v>23.915339999999993</v>
      </c>
      <c r="K311" s="7">
        <f>H311*0.04</f>
        <v>39.738079999999997</v>
      </c>
      <c r="L311" s="7">
        <f>I311+J311+K311</f>
        <v>231.03421999999995</v>
      </c>
      <c r="M311" s="7">
        <f>H311-L311</f>
        <v>762.41777999999999</v>
      </c>
    </row>
    <row r="312" spans="1:13" x14ac:dyDescent="0.3">
      <c r="A312" t="s">
        <v>201</v>
      </c>
      <c r="B312" t="s">
        <v>55</v>
      </c>
      <c r="C312" s="7">
        <v>22.77</v>
      </c>
      <c r="D312" s="8">
        <v>42.5</v>
      </c>
      <c r="E312" s="8">
        <f>MAX(0, D312-40)</f>
        <v>2.5</v>
      </c>
      <c r="F312" s="7">
        <f>MIN(D312,40)*C312</f>
        <v>910.8</v>
      </c>
      <c r="G312" s="9">
        <f>E312 * C312 * 1.5</f>
        <v>85.387499999999989</v>
      </c>
      <c r="H312" s="7">
        <f>F312+G312</f>
        <v>996.1875</v>
      </c>
      <c r="I312" s="7">
        <f>MAX(0,
IF(H312&lt;=800,
H312*0.2,
800*0.2+(H312-800)*0.4
)-70
)</f>
        <v>168.47500000000002</v>
      </c>
      <c r="J312" s="7">
        <f>IF(H312&lt;=231,
H312*0.005,
IF(H312&lt;=693,
231*0.005+(H312-231)*0.02,
231*0.005+462*0.02+(H312-693)*0.045
))</f>
        <v>24.038437500000001</v>
      </c>
      <c r="K312" s="7">
        <f>H312*0.04</f>
        <v>39.847500000000004</v>
      </c>
      <c r="L312" s="7">
        <f>I312+J312+K312</f>
        <v>232.36093750000001</v>
      </c>
      <c r="M312" s="7">
        <f>H312-L312</f>
        <v>763.82656250000002</v>
      </c>
    </row>
    <row r="313" spans="1:13" x14ac:dyDescent="0.3">
      <c r="A313" t="s">
        <v>130</v>
      </c>
      <c r="B313" t="s">
        <v>13</v>
      </c>
      <c r="C313" s="7">
        <v>25.12</v>
      </c>
      <c r="D313" s="8">
        <v>39.700000000000003</v>
      </c>
      <c r="E313" s="8">
        <f>MAX(0, D313-40)</f>
        <v>0</v>
      </c>
      <c r="F313" s="7">
        <f>MIN(D313,40)*C313</f>
        <v>997.26400000000012</v>
      </c>
      <c r="G313" s="9">
        <f>E313 * C313 * 1.5</f>
        <v>0</v>
      </c>
      <c r="H313" s="7">
        <f>F313+G313</f>
        <v>997.26400000000012</v>
      </c>
      <c r="I313" s="7">
        <f>MAX(0,
IF(H313&lt;=800,
H313*0.2,
800*0.2+(H313-800)*0.4
)-70
)</f>
        <v>168.90560000000005</v>
      </c>
      <c r="J313" s="7">
        <f>IF(H313&lt;=231,
H313*0.005,
IF(H313&lt;=693,
231*0.005+(H313-231)*0.02,
231*0.005+462*0.02+(H313-693)*0.045
))</f>
        <v>24.086880000000004</v>
      </c>
      <c r="K313" s="7">
        <f>H313*0.04</f>
        <v>39.890560000000008</v>
      </c>
      <c r="L313" s="7">
        <f>I313+J313+K313</f>
        <v>232.88304000000005</v>
      </c>
      <c r="M313" s="7">
        <f>H313-L313</f>
        <v>764.38096000000007</v>
      </c>
    </row>
    <row r="314" spans="1:13" x14ac:dyDescent="0.3">
      <c r="A314" t="s">
        <v>393</v>
      </c>
      <c r="B314" t="s">
        <v>27</v>
      </c>
      <c r="C314" s="7">
        <v>24.62</v>
      </c>
      <c r="D314" s="8">
        <v>40.4</v>
      </c>
      <c r="E314" s="8">
        <f>MAX(0, D314-40)</f>
        <v>0.39999999999999858</v>
      </c>
      <c r="F314" s="7">
        <f>MIN(D314,40)*C314</f>
        <v>984.80000000000007</v>
      </c>
      <c r="G314" s="9">
        <f>E314 * C314 * 1.5</f>
        <v>14.771999999999949</v>
      </c>
      <c r="H314" s="7">
        <f>F314+G314</f>
        <v>999.572</v>
      </c>
      <c r="I314" s="7">
        <f>MAX(0,
IF(H314&lt;=800,
H314*0.2,
800*0.2+(H314-800)*0.4
)-70
)</f>
        <v>169.8288</v>
      </c>
      <c r="J314" s="7">
        <f>IF(H314&lt;=231,
H314*0.005,
IF(H314&lt;=693,
231*0.005+(H314-231)*0.02,
231*0.005+462*0.02+(H314-693)*0.045
))</f>
        <v>24.190739999999998</v>
      </c>
      <c r="K314" s="7">
        <f>H314*0.04</f>
        <v>39.982880000000002</v>
      </c>
      <c r="L314" s="7">
        <f>I314+J314+K314</f>
        <v>234.00242</v>
      </c>
      <c r="M314" s="7">
        <f>H314-L314</f>
        <v>765.56957999999997</v>
      </c>
    </row>
    <row r="315" spans="1:13" x14ac:dyDescent="0.3">
      <c r="A315" t="s">
        <v>52</v>
      </c>
      <c r="B315" t="s">
        <v>25</v>
      </c>
      <c r="C315" s="7">
        <v>26.66</v>
      </c>
      <c r="D315" s="8">
        <v>37.5</v>
      </c>
      <c r="E315" s="8">
        <f>MAX(0, D315-40)</f>
        <v>0</v>
      </c>
      <c r="F315" s="7">
        <f>MIN(D315,40)*C315</f>
        <v>999.75</v>
      </c>
      <c r="G315" s="9">
        <f>E315 * C315 * 1.5</f>
        <v>0</v>
      </c>
      <c r="H315" s="7">
        <f>F315+G315</f>
        <v>999.75</v>
      </c>
      <c r="I315" s="7">
        <f>MAX(0,
IF(H315&lt;=800,
H315*0.2,
800*0.2+(H315-800)*0.4
)-70
)</f>
        <v>169.9</v>
      </c>
      <c r="J315" s="7">
        <f>IF(H315&lt;=231,
H315*0.005,
IF(H315&lt;=693,
231*0.005+(H315-231)*0.02,
231*0.005+462*0.02+(H315-693)*0.045
))</f>
        <v>24.198749999999997</v>
      </c>
      <c r="K315" s="7">
        <f>H315*0.04</f>
        <v>39.99</v>
      </c>
      <c r="L315" s="7">
        <f>I315+J315+K315</f>
        <v>234.08875</v>
      </c>
      <c r="M315" s="7">
        <f>H315-L315</f>
        <v>765.66125</v>
      </c>
    </row>
    <row r="316" spans="1:13" x14ac:dyDescent="0.3">
      <c r="A316" t="s">
        <v>12</v>
      </c>
      <c r="B316" t="s">
        <v>13</v>
      </c>
      <c r="C316" s="7">
        <v>26.51</v>
      </c>
      <c r="D316" s="8">
        <v>37.799999999999997</v>
      </c>
      <c r="E316" s="8">
        <f>MAX(0, D316-40)</f>
        <v>0</v>
      </c>
      <c r="F316" s="7">
        <f>MIN(D316,40)*C316</f>
        <v>1002.078</v>
      </c>
      <c r="G316" s="9">
        <f>E316 * C316 * 1.5</f>
        <v>0</v>
      </c>
      <c r="H316" s="7">
        <f>F316+G316</f>
        <v>1002.078</v>
      </c>
      <c r="I316" s="7">
        <f>MAX(0,
IF(H316&lt;=800,
H316*0.2,
800*0.2+(H316-800)*0.4
)-70
)</f>
        <v>170.8312</v>
      </c>
      <c r="J316" s="7">
        <f>IF(H316&lt;=231,
H316*0.005,
IF(H316&lt;=693,
231*0.005+(H316-231)*0.02,
231*0.005+462*0.02+(H316-693)*0.045
))</f>
        <v>24.303509999999996</v>
      </c>
      <c r="K316" s="7">
        <f>H316*0.04</f>
        <v>40.083120000000001</v>
      </c>
      <c r="L316" s="7">
        <f>I316+J316+K316</f>
        <v>235.21782999999999</v>
      </c>
      <c r="M316" s="7">
        <f>H316-L316</f>
        <v>766.86016999999993</v>
      </c>
    </row>
    <row r="317" spans="1:13" x14ac:dyDescent="0.3">
      <c r="A317" t="s">
        <v>391</v>
      </c>
      <c r="B317" t="s">
        <v>145</v>
      </c>
      <c r="C317" s="7">
        <v>24.72</v>
      </c>
      <c r="D317" s="8">
        <v>40.4</v>
      </c>
      <c r="E317" s="8">
        <f>MAX(0, D317-40)</f>
        <v>0.39999999999999858</v>
      </c>
      <c r="F317" s="7">
        <f>MIN(D317,40)*C317</f>
        <v>988.8</v>
      </c>
      <c r="G317" s="9">
        <f>E317 * C317 * 1.5</f>
        <v>14.831999999999947</v>
      </c>
      <c r="H317" s="7">
        <f>F317+G317</f>
        <v>1003.6319999999999</v>
      </c>
      <c r="I317" s="7">
        <f>MAX(0,
IF(H317&lt;=800,
H317*0.2,
800*0.2+(H317-800)*0.4
)-70
)</f>
        <v>171.45279999999997</v>
      </c>
      <c r="J317" s="7">
        <f>IF(H317&lt;=231,
H317*0.005,
IF(H317&lt;=693,
231*0.005+(H317-231)*0.02,
231*0.005+462*0.02+(H317-693)*0.045
))</f>
        <v>24.373439999999995</v>
      </c>
      <c r="K317" s="7">
        <f>H317*0.04</f>
        <v>40.14528</v>
      </c>
      <c r="L317" s="7">
        <f>I317+J317+K317</f>
        <v>235.97151999999994</v>
      </c>
      <c r="M317" s="7">
        <f>H317-L317</f>
        <v>767.66048000000001</v>
      </c>
    </row>
    <row r="318" spans="1:13" x14ac:dyDescent="0.3">
      <c r="A318" t="s">
        <v>88</v>
      </c>
      <c r="B318" t="s">
        <v>5</v>
      </c>
      <c r="C318" s="7">
        <v>27.57</v>
      </c>
      <c r="D318" s="8">
        <v>36.5</v>
      </c>
      <c r="E318" s="8">
        <f>MAX(0, D318-40)</f>
        <v>0</v>
      </c>
      <c r="F318" s="7">
        <f>MIN(D318,40)*C318</f>
        <v>1006.3050000000001</v>
      </c>
      <c r="G318" s="9">
        <f>E318 * C318 * 1.5</f>
        <v>0</v>
      </c>
      <c r="H318" s="7">
        <f>F318+G318</f>
        <v>1006.3050000000001</v>
      </c>
      <c r="I318" s="7">
        <f>MAX(0,
IF(H318&lt;=800,
H318*0.2,
800*0.2+(H318-800)*0.4
)-70
)</f>
        <v>172.52200000000005</v>
      </c>
      <c r="J318" s="7">
        <f>IF(H318&lt;=231,
H318*0.005,
IF(H318&lt;=693,
231*0.005+(H318-231)*0.02,
231*0.005+462*0.02+(H318-693)*0.045
))</f>
        <v>24.493725000000001</v>
      </c>
      <c r="K318" s="7">
        <f>H318*0.04</f>
        <v>40.252200000000002</v>
      </c>
      <c r="L318" s="7">
        <f>I318+J318+K318</f>
        <v>237.26792500000005</v>
      </c>
      <c r="M318" s="7">
        <f>H318-L318</f>
        <v>769.03707499999996</v>
      </c>
    </row>
    <row r="319" spans="1:13" x14ac:dyDescent="0.3">
      <c r="A319" t="s">
        <v>126</v>
      </c>
      <c r="B319" t="s">
        <v>29</v>
      </c>
      <c r="C319" s="7">
        <v>28.63</v>
      </c>
      <c r="D319" s="8">
        <v>35.200000000000003</v>
      </c>
      <c r="E319" s="8">
        <f>MAX(0, D319-40)</f>
        <v>0</v>
      </c>
      <c r="F319" s="7">
        <f>MIN(D319,40)*C319</f>
        <v>1007.7760000000001</v>
      </c>
      <c r="G319" s="9">
        <f>E319 * C319 * 1.5</f>
        <v>0</v>
      </c>
      <c r="H319" s="7">
        <f>F319+G319</f>
        <v>1007.7760000000001</v>
      </c>
      <c r="I319" s="7">
        <f>MAX(0,
IF(H319&lt;=800,
H319*0.2,
800*0.2+(H319-800)*0.4
)-70
)</f>
        <v>173.11040000000003</v>
      </c>
      <c r="J319" s="7">
        <f>IF(H319&lt;=231,
H319*0.005,
IF(H319&lt;=693,
231*0.005+(H319-231)*0.02,
231*0.005+462*0.02+(H319-693)*0.045
))</f>
        <v>24.559920000000002</v>
      </c>
      <c r="K319" s="7">
        <f>H319*0.04</f>
        <v>40.311040000000006</v>
      </c>
      <c r="L319" s="7">
        <f>I319+J319+K319</f>
        <v>237.98136000000005</v>
      </c>
      <c r="M319" s="7">
        <f>H319-L319</f>
        <v>769.79464000000007</v>
      </c>
    </row>
    <row r="320" spans="1:13" x14ac:dyDescent="0.3">
      <c r="A320" t="s">
        <v>183</v>
      </c>
      <c r="B320" t="s">
        <v>61</v>
      </c>
      <c r="C320" s="7">
        <v>25.26</v>
      </c>
      <c r="D320" s="8">
        <v>40</v>
      </c>
      <c r="E320" s="8">
        <f>MAX(0, D320-40)</f>
        <v>0</v>
      </c>
      <c r="F320" s="7">
        <f>MIN(D320,40)*C320</f>
        <v>1010.4000000000001</v>
      </c>
      <c r="G320" s="9">
        <f>E320 * C320 * 1.5</f>
        <v>0</v>
      </c>
      <c r="H320" s="7">
        <f>F320+G320</f>
        <v>1010.4000000000001</v>
      </c>
      <c r="I320" s="7">
        <f>MAX(0,
IF(H320&lt;=800,
H320*0.2,
800*0.2+(H320-800)*0.4
)-70
)</f>
        <v>174.16000000000003</v>
      </c>
      <c r="J320" s="7">
        <f>IF(H320&lt;=231,
H320*0.005,
IF(H320&lt;=693,
231*0.005+(H320-231)*0.02,
231*0.005+462*0.02+(H320-693)*0.045
))</f>
        <v>24.678000000000004</v>
      </c>
      <c r="K320" s="7">
        <f>H320*0.04</f>
        <v>40.416000000000004</v>
      </c>
      <c r="L320" s="7">
        <f>I320+J320+K320</f>
        <v>239.25400000000002</v>
      </c>
      <c r="M320" s="7">
        <f>H320-L320</f>
        <v>771.14600000000007</v>
      </c>
    </row>
    <row r="321" spans="1:13" x14ac:dyDescent="0.3">
      <c r="A321" t="s">
        <v>51</v>
      </c>
      <c r="B321" t="s">
        <v>7</v>
      </c>
      <c r="C321" s="7">
        <v>26.52</v>
      </c>
      <c r="D321" s="8">
        <v>38.1</v>
      </c>
      <c r="E321" s="8">
        <f>MAX(0, D321-40)</f>
        <v>0</v>
      </c>
      <c r="F321" s="7">
        <f>MIN(D321,40)*C321</f>
        <v>1010.412</v>
      </c>
      <c r="G321" s="9">
        <f>E321 * C321 * 1.5</f>
        <v>0</v>
      </c>
      <c r="H321" s="7">
        <f>F321+G321</f>
        <v>1010.412</v>
      </c>
      <c r="I321" s="7">
        <f>MAX(0,
IF(H321&lt;=800,
H321*0.2,
800*0.2+(H321-800)*0.4
)-70
)</f>
        <v>174.16480000000001</v>
      </c>
      <c r="J321" s="7">
        <f>IF(H321&lt;=231,
H321*0.005,
IF(H321&lt;=693,
231*0.005+(H321-231)*0.02,
231*0.005+462*0.02+(H321-693)*0.045
))</f>
        <v>24.678539999999998</v>
      </c>
      <c r="K321" s="7">
        <f>H321*0.04</f>
        <v>40.41648</v>
      </c>
      <c r="L321" s="7">
        <f>I321+J321+K321</f>
        <v>239.25982000000002</v>
      </c>
      <c r="M321" s="7">
        <f>H321-L321</f>
        <v>771.15218000000004</v>
      </c>
    </row>
    <row r="322" spans="1:13" x14ac:dyDescent="0.3">
      <c r="A322" t="s">
        <v>231</v>
      </c>
      <c r="B322" t="s">
        <v>59</v>
      </c>
      <c r="C322" s="7">
        <v>23.59</v>
      </c>
      <c r="D322" s="8">
        <v>41.9</v>
      </c>
      <c r="E322" s="8">
        <f>MAX(0, D322-40)</f>
        <v>1.8999999999999986</v>
      </c>
      <c r="F322" s="7">
        <f>MIN(D322,40)*C322</f>
        <v>943.6</v>
      </c>
      <c r="G322" s="9">
        <f>E322 * C322 * 1.5</f>
        <v>67.231499999999954</v>
      </c>
      <c r="H322" s="7">
        <f>F322+G322</f>
        <v>1010.8315</v>
      </c>
      <c r="I322" s="7">
        <f>MAX(0,
IF(H322&lt;=800,
H322*0.2,
800*0.2+(H322-800)*0.4
)-70
)</f>
        <v>174.33260000000001</v>
      </c>
      <c r="J322" s="7">
        <f>IF(H322&lt;=231,
H322*0.005,
IF(H322&lt;=693,
231*0.005+(H322-231)*0.02,
231*0.005+462*0.02+(H322-693)*0.045
))</f>
        <v>24.6974175</v>
      </c>
      <c r="K322" s="7">
        <f>H322*0.04</f>
        <v>40.433260000000004</v>
      </c>
      <c r="L322" s="7">
        <f>I322+J322+K322</f>
        <v>239.4632775</v>
      </c>
      <c r="M322" s="7">
        <f>H322-L322</f>
        <v>771.3682225</v>
      </c>
    </row>
    <row r="323" spans="1:13" x14ac:dyDescent="0.3">
      <c r="A323" t="s">
        <v>243</v>
      </c>
      <c r="B323" t="s">
        <v>43</v>
      </c>
      <c r="C323" s="7">
        <v>28.15</v>
      </c>
      <c r="D323" s="8">
        <v>36</v>
      </c>
      <c r="E323" s="8">
        <f>MAX(0, D323-40)</f>
        <v>0</v>
      </c>
      <c r="F323" s="7">
        <f>MIN(D323,40)*C323</f>
        <v>1013.4</v>
      </c>
      <c r="G323" s="9">
        <f>E323 * C323 * 1.5</f>
        <v>0</v>
      </c>
      <c r="H323" s="7">
        <f>F323+G323</f>
        <v>1013.4</v>
      </c>
      <c r="I323" s="7">
        <f>MAX(0,
IF(H323&lt;=800,
H323*0.2,
800*0.2+(H323-800)*0.4
)-70
)</f>
        <v>175.36</v>
      </c>
      <c r="J323" s="7">
        <f>IF(H323&lt;=231,
H323*0.005,
IF(H323&lt;=693,
231*0.005+(H323-231)*0.02,
231*0.005+462*0.02+(H323-693)*0.045
))</f>
        <v>24.812999999999999</v>
      </c>
      <c r="K323" s="7">
        <f>H323*0.04</f>
        <v>40.536000000000001</v>
      </c>
      <c r="L323" s="7">
        <f>I323+J323+K323</f>
        <v>240.709</v>
      </c>
      <c r="M323" s="7">
        <f>H323-L323</f>
        <v>772.69100000000003</v>
      </c>
    </row>
    <row r="324" spans="1:13" x14ac:dyDescent="0.3">
      <c r="A324" t="s">
        <v>28</v>
      </c>
      <c r="B324" t="s">
        <v>29</v>
      </c>
      <c r="C324" s="7">
        <v>27.27</v>
      </c>
      <c r="D324" s="8">
        <v>37.200000000000003</v>
      </c>
      <c r="E324" s="8">
        <f>MAX(0, D324-40)</f>
        <v>0</v>
      </c>
      <c r="F324" s="7">
        <f>MIN(D324,40)*C324</f>
        <v>1014.4440000000001</v>
      </c>
      <c r="G324" s="9">
        <f>E324 * C324 * 1.5</f>
        <v>0</v>
      </c>
      <c r="H324" s="7">
        <f>F324+G324</f>
        <v>1014.4440000000001</v>
      </c>
      <c r="I324" s="7">
        <f>MAX(0,
IF(H324&lt;=800,
H324*0.2,
800*0.2+(H324-800)*0.4
)-70
)</f>
        <v>175.77760000000004</v>
      </c>
      <c r="J324" s="7">
        <f>IF(H324&lt;=231,
H324*0.005,
IF(H324&lt;=693,
231*0.005+(H324-231)*0.02,
231*0.005+462*0.02+(H324-693)*0.045
))</f>
        <v>24.85998</v>
      </c>
      <c r="K324" s="7">
        <f>H324*0.04</f>
        <v>40.577760000000005</v>
      </c>
      <c r="L324" s="7">
        <f>I324+J324+K324</f>
        <v>241.21534000000005</v>
      </c>
      <c r="M324" s="7">
        <f>H324-L324</f>
        <v>773.22865999999999</v>
      </c>
    </row>
    <row r="325" spans="1:13" x14ac:dyDescent="0.3">
      <c r="A325" t="s">
        <v>6</v>
      </c>
      <c r="B325" t="s">
        <v>7</v>
      </c>
      <c r="C325" s="7">
        <v>25.88</v>
      </c>
      <c r="D325" s="8">
        <v>39.200000000000003</v>
      </c>
      <c r="E325" s="8">
        <f>MAX(0, D325-40)</f>
        <v>0</v>
      </c>
      <c r="F325" s="7">
        <f>MIN(D325,40)*C325</f>
        <v>1014.496</v>
      </c>
      <c r="G325" s="9">
        <f>E325 * C325 * 1.5</f>
        <v>0</v>
      </c>
      <c r="H325" s="7">
        <f>F325+G325</f>
        <v>1014.496</v>
      </c>
      <c r="I325" s="7">
        <f>MAX(0,
IF(H325&lt;=800,
H325*0.2,
800*0.2+(H325-800)*0.4
)-70
)</f>
        <v>175.79840000000002</v>
      </c>
      <c r="J325" s="7">
        <f>IF(H325&lt;=231,
H325*0.005,
IF(H325&lt;=693,
231*0.005+(H325-231)*0.02,
231*0.005+462*0.02+(H325-693)*0.045
))</f>
        <v>24.862319999999997</v>
      </c>
      <c r="K325" s="7">
        <f>H325*0.04</f>
        <v>40.579839999999997</v>
      </c>
      <c r="L325" s="7">
        <f>I325+J325+K325</f>
        <v>241.24056000000002</v>
      </c>
      <c r="M325" s="7">
        <f>H325-L325</f>
        <v>773.25543999999991</v>
      </c>
    </row>
    <row r="326" spans="1:13" x14ac:dyDescent="0.3">
      <c r="A326" t="s">
        <v>361</v>
      </c>
      <c r="B326" t="s">
        <v>21</v>
      </c>
      <c r="C326" s="7">
        <v>27.35</v>
      </c>
      <c r="D326" s="8">
        <v>37.1</v>
      </c>
      <c r="E326" s="8">
        <f>MAX(0, D326-40)</f>
        <v>0</v>
      </c>
      <c r="F326" s="7">
        <f>MIN(D326,40)*C326</f>
        <v>1014.6850000000001</v>
      </c>
      <c r="G326" s="9">
        <f>E326 * C326 * 1.5</f>
        <v>0</v>
      </c>
      <c r="H326" s="7">
        <f>F326+G326</f>
        <v>1014.6850000000001</v>
      </c>
      <c r="I326" s="7">
        <f>MAX(0,
IF(H326&lt;=800,
H326*0.2,
800*0.2+(H326-800)*0.4
)-70
)</f>
        <v>175.87400000000002</v>
      </c>
      <c r="J326" s="7">
        <f>IF(H326&lt;=231,
H326*0.005,
IF(H326&lt;=693,
231*0.005+(H326-231)*0.02,
231*0.005+462*0.02+(H326-693)*0.045
))</f>
        <v>24.870825000000004</v>
      </c>
      <c r="K326" s="7">
        <f>H326*0.04</f>
        <v>40.587400000000002</v>
      </c>
      <c r="L326" s="7">
        <f>I326+J326+K326</f>
        <v>241.33222500000002</v>
      </c>
      <c r="M326" s="7">
        <f>H326-L326</f>
        <v>773.35277500000007</v>
      </c>
    </row>
    <row r="327" spans="1:13" x14ac:dyDescent="0.3">
      <c r="A327" t="s">
        <v>42</v>
      </c>
      <c r="B327" t="s">
        <v>43</v>
      </c>
      <c r="C327" s="7">
        <v>27.61</v>
      </c>
      <c r="D327" s="8">
        <v>37</v>
      </c>
      <c r="E327" s="8">
        <f>MAX(0, D327-40)</f>
        <v>0</v>
      </c>
      <c r="F327" s="7">
        <f>MIN(D327,40)*C327</f>
        <v>1021.5699999999999</v>
      </c>
      <c r="G327" s="9">
        <f>E327 * C327 * 1.5</f>
        <v>0</v>
      </c>
      <c r="H327" s="7">
        <f>F327+G327</f>
        <v>1021.5699999999999</v>
      </c>
      <c r="I327" s="7">
        <f>MAX(0,
IF(H327&lt;=800,
H327*0.2,
800*0.2+(H327-800)*0.4
)-70
)</f>
        <v>178.62799999999999</v>
      </c>
      <c r="J327" s="7">
        <f>IF(H327&lt;=231,
H327*0.005,
IF(H327&lt;=693,
231*0.005+(H327-231)*0.02,
231*0.005+462*0.02+(H327-693)*0.045
))</f>
        <v>25.180649999999996</v>
      </c>
      <c r="K327" s="7">
        <f>H327*0.04</f>
        <v>40.8628</v>
      </c>
      <c r="L327" s="7">
        <f>I327+J327+K327</f>
        <v>244.67144999999996</v>
      </c>
      <c r="M327" s="7">
        <f>H327-L327</f>
        <v>776.89855</v>
      </c>
    </row>
    <row r="328" spans="1:13" x14ac:dyDescent="0.3">
      <c r="A328" t="s">
        <v>304</v>
      </c>
      <c r="B328" t="s">
        <v>15</v>
      </c>
      <c r="C328" s="7">
        <v>28.43</v>
      </c>
      <c r="D328" s="8">
        <v>36</v>
      </c>
      <c r="E328" s="8">
        <f>MAX(0, D328-40)</f>
        <v>0</v>
      </c>
      <c r="F328" s="7">
        <f>MIN(D328,40)*C328</f>
        <v>1023.48</v>
      </c>
      <c r="G328" s="9">
        <f>E328 * C328 * 1.5</f>
        <v>0</v>
      </c>
      <c r="H328" s="7">
        <f>F328+G328</f>
        <v>1023.48</v>
      </c>
      <c r="I328" s="7">
        <f>MAX(0,
IF(H328&lt;=800,
H328*0.2,
800*0.2+(H328-800)*0.4
)-70
)</f>
        <v>179.392</v>
      </c>
      <c r="J328" s="7">
        <f>IF(H328&lt;=231,
H328*0.005,
IF(H328&lt;=693,
231*0.005+(H328-231)*0.02,
231*0.005+462*0.02+(H328-693)*0.045
))</f>
        <v>25.2666</v>
      </c>
      <c r="K328" s="7">
        <f>H328*0.04</f>
        <v>40.9392</v>
      </c>
      <c r="L328" s="7">
        <f>I328+J328+K328</f>
        <v>245.59780000000001</v>
      </c>
      <c r="M328" s="7">
        <f>H328-L328</f>
        <v>777.88220000000001</v>
      </c>
    </row>
    <row r="329" spans="1:13" x14ac:dyDescent="0.3">
      <c r="A329" t="s">
        <v>470</v>
      </c>
      <c r="B329" t="s">
        <v>49</v>
      </c>
      <c r="C329" s="7">
        <v>24.63</v>
      </c>
      <c r="D329" s="8">
        <v>41.1</v>
      </c>
      <c r="E329" s="8">
        <f>MAX(0, D329-40)</f>
        <v>1.1000000000000014</v>
      </c>
      <c r="F329" s="7">
        <f>MIN(D329,40)*C329</f>
        <v>985.19999999999993</v>
      </c>
      <c r="G329" s="9">
        <f>E329 * C329 * 1.5</f>
        <v>40.639500000000055</v>
      </c>
      <c r="H329" s="7">
        <f>F329+G329</f>
        <v>1025.8395</v>
      </c>
      <c r="I329" s="7">
        <f>MAX(0,
IF(H329&lt;=800,
H329*0.2,
800*0.2+(H329-800)*0.4
)-70
)</f>
        <v>180.33580000000001</v>
      </c>
      <c r="J329" s="7">
        <f>IF(H329&lt;=231,
H329*0.005,
IF(H329&lt;=693,
231*0.005+(H329-231)*0.02,
231*0.005+462*0.02+(H329-693)*0.045
))</f>
        <v>25.372777500000002</v>
      </c>
      <c r="K329" s="7">
        <f>H329*0.04</f>
        <v>41.033580000000001</v>
      </c>
      <c r="L329" s="7">
        <f>I329+J329+K329</f>
        <v>246.74215750000002</v>
      </c>
      <c r="M329" s="7">
        <f>H329-L329</f>
        <v>779.09734249999997</v>
      </c>
    </row>
    <row r="330" spans="1:13" x14ac:dyDescent="0.3">
      <c r="A330" t="s">
        <v>396</v>
      </c>
      <c r="B330" t="s">
        <v>23</v>
      </c>
      <c r="C330" s="7">
        <v>24.04</v>
      </c>
      <c r="D330" s="8">
        <v>41.8</v>
      </c>
      <c r="E330" s="8">
        <f>MAX(0, D330-40)</f>
        <v>1.7999999999999972</v>
      </c>
      <c r="F330" s="7">
        <f>MIN(D330,40)*C330</f>
        <v>961.59999999999991</v>
      </c>
      <c r="G330" s="9">
        <f>E330 * C330 * 1.5</f>
        <v>64.907999999999888</v>
      </c>
      <c r="H330" s="7">
        <f>F330+G330</f>
        <v>1026.5079999999998</v>
      </c>
      <c r="I330" s="7">
        <f>MAX(0,
IF(H330&lt;=800,
H330*0.2,
800*0.2+(H330-800)*0.4
)-70
)</f>
        <v>180.60319999999993</v>
      </c>
      <c r="J330" s="7">
        <f>IF(H330&lt;=231,
H330*0.005,
IF(H330&lt;=693,
231*0.005+(H330-231)*0.02,
231*0.005+462*0.02+(H330-693)*0.045
))</f>
        <v>25.40285999999999</v>
      </c>
      <c r="K330" s="7">
        <f>H330*0.04</f>
        <v>41.06031999999999</v>
      </c>
      <c r="L330" s="7">
        <f>I330+J330+K330</f>
        <v>247.06637999999992</v>
      </c>
      <c r="M330" s="7">
        <f>H330-L330</f>
        <v>779.44161999999983</v>
      </c>
    </row>
    <row r="331" spans="1:13" x14ac:dyDescent="0.3">
      <c r="A331" t="s">
        <v>347</v>
      </c>
      <c r="B331" t="s">
        <v>29</v>
      </c>
      <c r="C331" s="7">
        <v>26.61</v>
      </c>
      <c r="D331" s="8">
        <v>38.6</v>
      </c>
      <c r="E331" s="8">
        <f>MAX(0, D331-40)</f>
        <v>0</v>
      </c>
      <c r="F331" s="7">
        <f>MIN(D331,40)*C331</f>
        <v>1027.146</v>
      </c>
      <c r="G331" s="9">
        <f>E331 * C331 * 1.5</f>
        <v>0</v>
      </c>
      <c r="H331" s="7">
        <f>F331+G331</f>
        <v>1027.146</v>
      </c>
      <c r="I331" s="7">
        <f>MAX(0,
IF(H331&lt;=800,
H331*0.2,
800*0.2+(H331-800)*0.4
)-70
)</f>
        <v>180.85839999999999</v>
      </c>
      <c r="J331" s="7">
        <f>IF(H331&lt;=231,
H331*0.005,
IF(H331&lt;=693,
231*0.005+(H331-231)*0.02,
231*0.005+462*0.02+(H331-693)*0.045
))</f>
        <v>25.431569999999997</v>
      </c>
      <c r="K331" s="7">
        <f>H331*0.04</f>
        <v>41.085839999999997</v>
      </c>
      <c r="L331" s="7">
        <f>I331+J331+K331</f>
        <v>247.37580999999997</v>
      </c>
      <c r="M331" s="7">
        <f>H331-L331</f>
        <v>779.77018999999996</v>
      </c>
    </row>
    <row r="332" spans="1:13" x14ac:dyDescent="0.3">
      <c r="A332" t="s">
        <v>417</v>
      </c>
      <c r="B332" t="s">
        <v>29</v>
      </c>
      <c r="C332" s="7">
        <v>27.06</v>
      </c>
      <c r="D332" s="8">
        <v>38.1</v>
      </c>
      <c r="E332" s="8">
        <f>MAX(0, D332-40)</f>
        <v>0</v>
      </c>
      <c r="F332" s="7">
        <f>MIN(D332,40)*C332</f>
        <v>1030.9859999999999</v>
      </c>
      <c r="G332" s="9">
        <f>E332 * C332 * 1.5</f>
        <v>0</v>
      </c>
      <c r="H332" s="7">
        <f>F332+G332</f>
        <v>1030.9859999999999</v>
      </c>
      <c r="I332" s="7">
        <f>MAX(0,
IF(H332&lt;=800,
H332*0.2,
800*0.2+(H332-800)*0.4
)-70
)</f>
        <v>182.39439999999996</v>
      </c>
      <c r="J332" s="7">
        <f>IF(H332&lt;=231,
H332*0.005,
IF(H332&lt;=693,
231*0.005+(H332-231)*0.02,
231*0.005+462*0.02+(H332-693)*0.045
))</f>
        <v>25.604369999999996</v>
      </c>
      <c r="K332" s="7">
        <f>H332*0.04</f>
        <v>41.239439999999995</v>
      </c>
      <c r="L332" s="7">
        <f>I332+J332+K332</f>
        <v>249.23820999999995</v>
      </c>
      <c r="M332" s="7">
        <f>H332-L332</f>
        <v>781.7477899999999</v>
      </c>
    </row>
    <row r="333" spans="1:13" x14ac:dyDescent="0.3">
      <c r="A333" t="s">
        <v>299</v>
      </c>
      <c r="B333" t="s">
        <v>57</v>
      </c>
      <c r="C333" s="7">
        <v>27.65</v>
      </c>
      <c r="D333" s="8">
        <v>37.4</v>
      </c>
      <c r="E333" s="8">
        <f>MAX(0, D333-40)</f>
        <v>0</v>
      </c>
      <c r="F333" s="7">
        <f>MIN(D333,40)*C333</f>
        <v>1034.1099999999999</v>
      </c>
      <c r="G333" s="9">
        <f>E333 * C333 * 1.5</f>
        <v>0</v>
      </c>
      <c r="H333" s="7">
        <f>F333+G333</f>
        <v>1034.1099999999999</v>
      </c>
      <c r="I333" s="7">
        <f>MAX(0,
IF(H333&lt;=800,
H333*0.2,
800*0.2+(H333-800)*0.4
)-70
)</f>
        <v>183.64399999999995</v>
      </c>
      <c r="J333" s="7">
        <f>IF(H333&lt;=231,
H333*0.005,
IF(H333&lt;=693,
231*0.005+(H333-231)*0.02,
231*0.005+462*0.02+(H333-693)*0.045
))</f>
        <v>25.744949999999996</v>
      </c>
      <c r="K333" s="7">
        <f>H333*0.04</f>
        <v>41.364399999999996</v>
      </c>
      <c r="L333" s="7">
        <f>I333+J333+K333</f>
        <v>250.75334999999993</v>
      </c>
      <c r="M333" s="7">
        <f>H333-L333</f>
        <v>783.35664999999995</v>
      </c>
    </row>
    <row r="334" spans="1:13" x14ac:dyDescent="0.3">
      <c r="A334" t="s">
        <v>173</v>
      </c>
      <c r="B334" t="s">
        <v>125</v>
      </c>
      <c r="C334" s="7">
        <v>24.05</v>
      </c>
      <c r="D334" s="8">
        <v>42</v>
      </c>
      <c r="E334" s="8">
        <f>MAX(0, D334-40)</f>
        <v>2</v>
      </c>
      <c r="F334" s="7">
        <f>MIN(D334,40)*C334</f>
        <v>962</v>
      </c>
      <c r="G334" s="9">
        <f>E334 * C334 * 1.5</f>
        <v>72.150000000000006</v>
      </c>
      <c r="H334" s="7">
        <f>F334+G334</f>
        <v>1034.1500000000001</v>
      </c>
      <c r="I334" s="7">
        <f>MAX(0,
IF(H334&lt;=800,
H334*0.2,
800*0.2+(H334-800)*0.4
)-70
)</f>
        <v>183.66000000000003</v>
      </c>
      <c r="J334" s="7">
        <f>IF(H334&lt;=231,
H334*0.005,
IF(H334&lt;=693,
231*0.005+(H334-231)*0.02,
231*0.005+462*0.02+(H334-693)*0.045
))</f>
        <v>25.746750000000002</v>
      </c>
      <c r="K334" s="7">
        <f>H334*0.04</f>
        <v>41.366000000000007</v>
      </c>
      <c r="L334" s="7">
        <f>I334+J334+K334</f>
        <v>250.77275000000003</v>
      </c>
      <c r="M334" s="7">
        <f>H334-L334</f>
        <v>783.37725</v>
      </c>
    </row>
    <row r="335" spans="1:13" x14ac:dyDescent="0.3">
      <c r="A335" t="s">
        <v>105</v>
      </c>
      <c r="B335" t="s">
        <v>32</v>
      </c>
      <c r="C335" s="7">
        <v>26.51</v>
      </c>
      <c r="D335" s="8">
        <v>39.1</v>
      </c>
      <c r="E335" s="8">
        <f>MAX(0, D335-40)</f>
        <v>0</v>
      </c>
      <c r="F335" s="7">
        <f>MIN(D335,40)*C335</f>
        <v>1036.5410000000002</v>
      </c>
      <c r="G335" s="9">
        <f>E335 * C335 * 1.5</f>
        <v>0</v>
      </c>
      <c r="H335" s="7">
        <f>F335+G335</f>
        <v>1036.5410000000002</v>
      </c>
      <c r="I335" s="7">
        <f>MAX(0,
IF(H335&lt;=800,
H335*0.2,
800*0.2+(H335-800)*0.4
)-70
)</f>
        <v>184.61640000000006</v>
      </c>
      <c r="J335" s="7">
        <f>IF(H335&lt;=231,
H335*0.005,
IF(H335&lt;=693,
231*0.005+(H335-231)*0.02,
231*0.005+462*0.02+(H335-693)*0.045
))</f>
        <v>25.854345000000006</v>
      </c>
      <c r="K335" s="7">
        <f>H335*0.04</f>
        <v>41.46164000000001</v>
      </c>
      <c r="L335" s="7">
        <f>I335+J335+K335</f>
        <v>251.93238500000007</v>
      </c>
      <c r="M335" s="7">
        <f>H335-L335</f>
        <v>784.6086150000001</v>
      </c>
    </row>
    <row r="336" spans="1:13" x14ac:dyDescent="0.3">
      <c r="A336" t="s">
        <v>290</v>
      </c>
      <c r="B336" t="s">
        <v>27</v>
      </c>
      <c r="C336" s="7">
        <v>25.44</v>
      </c>
      <c r="D336" s="8">
        <v>40.5</v>
      </c>
      <c r="E336" s="8">
        <f>MAX(0, D336-40)</f>
        <v>0.5</v>
      </c>
      <c r="F336" s="7">
        <f>MIN(D336,40)*C336</f>
        <v>1017.6</v>
      </c>
      <c r="G336" s="9">
        <f>E336 * C336 * 1.5</f>
        <v>19.080000000000002</v>
      </c>
      <c r="H336" s="7">
        <f>F336+G336</f>
        <v>1036.68</v>
      </c>
      <c r="I336" s="7">
        <f>MAX(0,
IF(H336&lt;=800,
H336*0.2,
800*0.2+(H336-800)*0.4
)-70
)</f>
        <v>184.67200000000003</v>
      </c>
      <c r="J336" s="7">
        <f>IF(H336&lt;=231,
H336*0.005,
IF(H336&lt;=693,
231*0.005+(H336-231)*0.02,
231*0.005+462*0.02+(H336-693)*0.045
))</f>
        <v>25.860600000000002</v>
      </c>
      <c r="K336" s="7">
        <f>H336*0.04</f>
        <v>41.467200000000005</v>
      </c>
      <c r="L336" s="7">
        <f>I336+J336+K336</f>
        <v>251.99980000000005</v>
      </c>
      <c r="M336" s="7">
        <f>H336-L336</f>
        <v>784.68020000000001</v>
      </c>
    </row>
    <row r="337" spans="1:13" x14ac:dyDescent="0.3">
      <c r="A337" t="s">
        <v>180</v>
      </c>
      <c r="B337" t="s">
        <v>125</v>
      </c>
      <c r="C337" s="7">
        <v>22.19</v>
      </c>
      <c r="D337" s="8">
        <v>44.5</v>
      </c>
      <c r="E337" s="8">
        <f>MAX(0, D337-40)</f>
        <v>4.5</v>
      </c>
      <c r="F337" s="7">
        <f>MIN(D337,40)*C337</f>
        <v>887.6</v>
      </c>
      <c r="G337" s="9">
        <f>E337 * C337 * 1.5</f>
        <v>149.7825</v>
      </c>
      <c r="H337" s="7">
        <f>F337+G337</f>
        <v>1037.3824999999999</v>
      </c>
      <c r="I337" s="7">
        <f>MAX(0,
IF(H337&lt;=800,
H337*0.2,
800*0.2+(H337-800)*0.4
)-70
)</f>
        <v>184.95299999999997</v>
      </c>
      <c r="J337" s="7">
        <f>IF(H337&lt;=231,
H337*0.005,
IF(H337&lt;=693,
231*0.005+(H337-231)*0.02,
231*0.005+462*0.02+(H337-693)*0.045
))</f>
        <v>25.892212499999996</v>
      </c>
      <c r="K337" s="7">
        <f>H337*0.04</f>
        <v>41.4953</v>
      </c>
      <c r="L337" s="7">
        <f>I337+J337+K337</f>
        <v>252.34051249999999</v>
      </c>
      <c r="M337" s="7">
        <f>H337-L337</f>
        <v>785.0419875</v>
      </c>
    </row>
    <row r="338" spans="1:13" x14ac:dyDescent="0.3">
      <c r="A338" t="s">
        <v>459</v>
      </c>
      <c r="B338" t="s">
        <v>49</v>
      </c>
      <c r="C338" s="7">
        <v>26.41</v>
      </c>
      <c r="D338" s="8">
        <v>39.299999999999997</v>
      </c>
      <c r="E338" s="8">
        <f>MAX(0, D338-40)</f>
        <v>0</v>
      </c>
      <c r="F338" s="7">
        <f>MIN(D338,40)*C338</f>
        <v>1037.913</v>
      </c>
      <c r="G338" s="9">
        <f>E338 * C338 * 1.5</f>
        <v>0</v>
      </c>
      <c r="H338" s="7">
        <f>F338+G338</f>
        <v>1037.913</v>
      </c>
      <c r="I338" s="7">
        <f>MAX(0,
IF(H338&lt;=800,
H338*0.2,
800*0.2+(H338-800)*0.4
)-70
)</f>
        <v>185.16520000000003</v>
      </c>
      <c r="J338" s="7">
        <f>IF(H338&lt;=231,
H338*0.005,
IF(H338&lt;=693,
231*0.005+(H338-231)*0.02,
231*0.005+462*0.02+(H338-693)*0.045
))</f>
        <v>25.916084999999999</v>
      </c>
      <c r="K338" s="7">
        <f>H338*0.04</f>
        <v>41.51652</v>
      </c>
      <c r="L338" s="7">
        <f>I338+J338+K338</f>
        <v>252.59780500000005</v>
      </c>
      <c r="M338" s="7">
        <f>H338-L338</f>
        <v>785.3151949999999</v>
      </c>
    </row>
    <row r="339" spans="1:13" x14ac:dyDescent="0.3">
      <c r="A339" t="s">
        <v>171</v>
      </c>
      <c r="B339" t="s">
        <v>125</v>
      </c>
      <c r="C339" s="7">
        <v>28.47</v>
      </c>
      <c r="D339" s="8">
        <v>36.5</v>
      </c>
      <c r="E339" s="8">
        <f>MAX(0, D339-40)</f>
        <v>0</v>
      </c>
      <c r="F339" s="7">
        <f>MIN(D339,40)*C339</f>
        <v>1039.155</v>
      </c>
      <c r="G339" s="9">
        <f>E339 * C339 * 1.5</f>
        <v>0</v>
      </c>
      <c r="H339" s="7">
        <f>F339+G339</f>
        <v>1039.155</v>
      </c>
      <c r="I339" s="7">
        <f>MAX(0,
IF(H339&lt;=800,
H339*0.2,
800*0.2+(H339-800)*0.4
)-70
)</f>
        <v>185.66199999999998</v>
      </c>
      <c r="J339" s="7">
        <f>IF(H339&lt;=231,
H339*0.005,
IF(H339&lt;=693,
231*0.005+(H339-231)*0.02,
231*0.005+462*0.02+(H339-693)*0.045
))</f>
        <v>25.971974999999997</v>
      </c>
      <c r="K339" s="7">
        <f>H339*0.04</f>
        <v>41.566200000000002</v>
      </c>
      <c r="L339" s="7">
        <f>I339+J339+K339</f>
        <v>253.20017499999997</v>
      </c>
      <c r="M339" s="7">
        <f>H339-L339</f>
        <v>785.95482500000003</v>
      </c>
    </row>
    <row r="340" spans="1:13" x14ac:dyDescent="0.3">
      <c r="A340" t="s">
        <v>155</v>
      </c>
      <c r="B340" t="s">
        <v>15</v>
      </c>
      <c r="C340" s="7">
        <v>27.31</v>
      </c>
      <c r="D340" s="8">
        <v>38.1</v>
      </c>
      <c r="E340" s="8">
        <f>MAX(0, D340-40)</f>
        <v>0</v>
      </c>
      <c r="F340" s="7">
        <f>MIN(D340,40)*C340</f>
        <v>1040.511</v>
      </c>
      <c r="G340" s="9">
        <f>E340 * C340 * 1.5</f>
        <v>0</v>
      </c>
      <c r="H340" s="7">
        <f>F340+G340</f>
        <v>1040.511</v>
      </c>
      <c r="I340" s="7">
        <f>MAX(0,
IF(H340&lt;=800,
H340*0.2,
800*0.2+(H340-800)*0.4
)-70
)</f>
        <v>186.20439999999996</v>
      </c>
      <c r="J340" s="7">
        <f>IF(H340&lt;=231,
H340*0.005,
IF(H340&lt;=693,
231*0.005+(H340-231)*0.02,
231*0.005+462*0.02+(H340-693)*0.045
))</f>
        <v>26.032995</v>
      </c>
      <c r="K340" s="7">
        <f>H340*0.04</f>
        <v>41.620440000000002</v>
      </c>
      <c r="L340" s="7">
        <f>I340+J340+K340</f>
        <v>253.85783499999997</v>
      </c>
      <c r="M340" s="7">
        <f>H340-L340</f>
        <v>786.65316499999994</v>
      </c>
    </row>
    <row r="341" spans="1:13" x14ac:dyDescent="0.3">
      <c r="A341" t="s">
        <v>186</v>
      </c>
      <c r="B341" t="s">
        <v>37</v>
      </c>
      <c r="C341" s="7">
        <v>26.62</v>
      </c>
      <c r="D341" s="8">
        <v>39.1</v>
      </c>
      <c r="E341" s="8">
        <f>MAX(0, D341-40)</f>
        <v>0</v>
      </c>
      <c r="F341" s="7">
        <f>MIN(D341,40)*C341</f>
        <v>1040.8420000000001</v>
      </c>
      <c r="G341" s="9">
        <f>E341 * C341 * 1.5</f>
        <v>0</v>
      </c>
      <c r="H341" s="7">
        <f>F341+G341</f>
        <v>1040.8420000000001</v>
      </c>
      <c r="I341" s="7">
        <f>MAX(0,
IF(H341&lt;=800,
H341*0.2,
800*0.2+(H341-800)*0.4
)-70
)</f>
        <v>186.33680000000004</v>
      </c>
      <c r="J341" s="7">
        <f>IF(H341&lt;=231,
H341*0.005,
IF(H341&lt;=693,
231*0.005+(H341-231)*0.02,
231*0.005+462*0.02+(H341-693)*0.045
))</f>
        <v>26.047890000000002</v>
      </c>
      <c r="K341" s="7">
        <f>H341*0.04</f>
        <v>41.633680000000005</v>
      </c>
      <c r="L341" s="7">
        <f>I341+J341+K341</f>
        <v>254.01837000000003</v>
      </c>
      <c r="M341" s="7">
        <f>H341-L341</f>
        <v>786.82363000000009</v>
      </c>
    </row>
    <row r="342" spans="1:13" x14ac:dyDescent="0.3">
      <c r="A342" t="s">
        <v>242</v>
      </c>
      <c r="B342" t="s">
        <v>55</v>
      </c>
      <c r="C342" s="7">
        <v>27.18</v>
      </c>
      <c r="D342" s="8">
        <v>38.299999999999997</v>
      </c>
      <c r="E342" s="8">
        <f>MAX(0, D342-40)</f>
        <v>0</v>
      </c>
      <c r="F342" s="7">
        <f>MIN(D342,40)*C342</f>
        <v>1040.9939999999999</v>
      </c>
      <c r="G342" s="9">
        <f>E342 * C342 * 1.5</f>
        <v>0</v>
      </c>
      <c r="H342" s="7">
        <f>F342+G342</f>
        <v>1040.9939999999999</v>
      </c>
      <c r="I342" s="7">
        <f>MAX(0,
IF(H342&lt;=800,
H342*0.2,
800*0.2+(H342-800)*0.4
)-70
)</f>
        <v>186.39759999999995</v>
      </c>
      <c r="J342" s="7">
        <f>IF(H342&lt;=231,
H342*0.005,
IF(H342&lt;=693,
231*0.005+(H342-231)*0.02,
231*0.005+462*0.02+(H342-693)*0.045
))</f>
        <v>26.054729999999996</v>
      </c>
      <c r="K342" s="7">
        <f>H342*0.04</f>
        <v>41.639759999999995</v>
      </c>
      <c r="L342" s="7">
        <f>I342+J342+K342</f>
        <v>254.09208999999996</v>
      </c>
      <c r="M342" s="7">
        <f>H342-L342</f>
        <v>786.90190999999993</v>
      </c>
    </row>
    <row r="343" spans="1:13" x14ac:dyDescent="0.3">
      <c r="A343" t="s">
        <v>187</v>
      </c>
      <c r="B343" t="s">
        <v>73</v>
      </c>
      <c r="C343" s="7">
        <v>26.18</v>
      </c>
      <c r="D343" s="8">
        <v>39.799999999999997</v>
      </c>
      <c r="E343" s="8">
        <f>MAX(0, D343-40)</f>
        <v>0</v>
      </c>
      <c r="F343" s="7">
        <f>MIN(D343,40)*C343</f>
        <v>1041.9639999999999</v>
      </c>
      <c r="G343" s="9">
        <f>E343 * C343 * 1.5</f>
        <v>0</v>
      </c>
      <c r="H343" s="7">
        <f>F343+G343</f>
        <v>1041.9639999999999</v>
      </c>
      <c r="I343" s="7">
        <f>MAX(0,
IF(H343&lt;=800,
H343*0.2,
800*0.2+(H343-800)*0.4
)-70
)</f>
        <v>186.78559999999999</v>
      </c>
      <c r="J343" s="7">
        <f>IF(H343&lt;=231,
H343*0.005,
IF(H343&lt;=693,
231*0.005+(H343-231)*0.02,
231*0.005+462*0.02+(H343-693)*0.045
))</f>
        <v>26.098379999999999</v>
      </c>
      <c r="K343" s="7">
        <f>H343*0.04</f>
        <v>41.678559999999997</v>
      </c>
      <c r="L343" s="7">
        <f>I343+J343+K343</f>
        <v>254.56253999999998</v>
      </c>
      <c r="M343" s="7">
        <f>H343-L343</f>
        <v>787.40145999999993</v>
      </c>
    </row>
    <row r="344" spans="1:13" x14ac:dyDescent="0.3">
      <c r="A344" t="s">
        <v>312</v>
      </c>
      <c r="B344" t="s">
        <v>13</v>
      </c>
      <c r="C344" s="7">
        <v>26.52</v>
      </c>
      <c r="D344" s="8">
        <v>39.299999999999997</v>
      </c>
      <c r="E344" s="8">
        <f>MAX(0, D344-40)</f>
        <v>0</v>
      </c>
      <c r="F344" s="7">
        <f>MIN(D344,40)*C344</f>
        <v>1042.2359999999999</v>
      </c>
      <c r="G344" s="9">
        <f>E344 * C344 * 1.5</f>
        <v>0</v>
      </c>
      <c r="H344" s="7">
        <f>F344+G344</f>
        <v>1042.2359999999999</v>
      </c>
      <c r="I344" s="7">
        <f>MAX(0,
IF(H344&lt;=800,
H344*0.2,
800*0.2+(H344-800)*0.4
)-70
)</f>
        <v>186.89439999999996</v>
      </c>
      <c r="J344" s="7">
        <f>IF(H344&lt;=231,
H344*0.005,
IF(H344&lt;=693,
231*0.005+(H344-231)*0.02,
231*0.005+462*0.02+(H344-693)*0.045
))</f>
        <v>26.110619999999994</v>
      </c>
      <c r="K344" s="7">
        <f>H344*0.04</f>
        <v>41.689439999999998</v>
      </c>
      <c r="L344" s="7">
        <f>I344+J344+K344</f>
        <v>254.69445999999994</v>
      </c>
      <c r="M344" s="7">
        <f>H344-L344</f>
        <v>787.54153999999994</v>
      </c>
    </row>
    <row r="345" spans="1:13" x14ac:dyDescent="0.3">
      <c r="A345" t="s">
        <v>94</v>
      </c>
      <c r="B345" t="s">
        <v>23</v>
      </c>
      <c r="C345" s="7">
        <v>23.29</v>
      </c>
      <c r="D345" s="8">
        <v>43.2</v>
      </c>
      <c r="E345" s="8">
        <f>MAX(0, D345-40)</f>
        <v>3.2000000000000028</v>
      </c>
      <c r="F345" s="7">
        <f>MIN(D345,40)*C345</f>
        <v>931.59999999999991</v>
      </c>
      <c r="G345" s="9">
        <f>E345 * C345 * 1.5</f>
        <v>111.79200000000009</v>
      </c>
      <c r="H345" s="7">
        <f>F345+G345</f>
        <v>1043.3920000000001</v>
      </c>
      <c r="I345" s="7">
        <f>MAX(0,
IF(H345&lt;=800,
H345*0.2,
800*0.2+(H345-800)*0.4
)-70
)</f>
        <v>187.35680000000002</v>
      </c>
      <c r="J345" s="7">
        <f>IF(H345&lt;=231,
H345*0.005,
IF(H345&lt;=693,
231*0.005+(H345-231)*0.02,
231*0.005+462*0.02+(H345-693)*0.045
))</f>
        <v>26.162640000000003</v>
      </c>
      <c r="K345" s="7">
        <f>H345*0.04</f>
        <v>41.735680000000002</v>
      </c>
      <c r="L345" s="7">
        <f>I345+J345+K345</f>
        <v>255.25512000000003</v>
      </c>
      <c r="M345" s="7">
        <f>H345-L345</f>
        <v>788.13688000000002</v>
      </c>
    </row>
    <row r="346" spans="1:13" x14ac:dyDescent="0.3">
      <c r="A346" t="s">
        <v>375</v>
      </c>
      <c r="B346" t="s">
        <v>57</v>
      </c>
      <c r="C346" s="7">
        <v>29.5</v>
      </c>
      <c r="D346" s="8">
        <v>35.4</v>
      </c>
      <c r="E346" s="8">
        <f>MAX(0, D346-40)</f>
        <v>0</v>
      </c>
      <c r="F346" s="7">
        <f>MIN(D346,40)*C346</f>
        <v>1044.3</v>
      </c>
      <c r="G346" s="9">
        <f>E346 * C346 * 1.5</f>
        <v>0</v>
      </c>
      <c r="H346" s="7">
        <f>F346+G346</f>
        <v>1044.3</v>
      </c>
      <c r="I346" s="7">
        <f>MAX(0,
IF(H346&lt;=800,
H346*0.2,
800*0.2+(H346-800)*0.4
)-70
)</f>
        <v>187.71999999999997</v>
      </c>
      <c r="J346" s="7">
        <f>IF(H346&lt;=231,
H346*0.005,
IF(H346&lt;=693,
231*0.005+(H346-231)*0.02,
231*0.005+462*0.02+(H346-693)*0.045
))</f>
        <v>26.203499999999998</v>
      </c>
      <c r="K346" s="7">
        <f>H346*0.04</f>
        <v>41.771999999999998</v>
      </c>
      <c r="L346" s="7">
        <f>I346+J346+K346</f>
        <v>255.69549999999995</v>
      </c>
      <c r="M346" s="7">
        <f>H346-L346</f>
        <v>788.60450000000003</v>
      </c>
    </row>
    <row r="347" spans="1:13" x14ac:dyDescent="0.3">
      <c r="A347" t="s">
        <v>158</v>
      </c>
      <c r="B347" t="s">
        <v>57</v>
      </c>
      <c r="C347" s="7">
        <v>23.24</v>
      </c>
      <c r="D347" s="8">
        <v>43.3</v>
      </c>
      <c r="E347" s="8">
        <f>MAX(0, D347-40)</f>
        <v>3.2999999999999972</v>
      </c>
      <c r="F347" s="7">
        <f>MIN(D347,40)*C347</f>
        <v>929.59999999999991</v>
      </c>
      <c r="G347" s="9">
        <f>E347 * C347 * 1.5</f>
        <v>115.03799999999988</v>
      </c>
      <c r="H347" s="7">
        <f>F347+G347</f>
        <v>1044.6379999999997</v>
      </c>
      <c r="I347" s="7">
        <f>MAX(0,
IF(H347&lt;=800,
H347*0.2,
800*0.2+(H347-800)*0.4
)-70
)</f>
        <v>187.85519999999985</v>
      </c>
      <c r="J347" s="7">
        <f>IF(H347&lt;=231,
H347*0.005,
IF(H347&lt;=693,
231*0.005+(H347-231)*0.02,
231*0.005+462*0.02+(H347-693)*0.045
))</f>
        <v>26.218709999999987</v>
      </c>
      <c r="K347" s="7">
        <f>H347*0.04</f>
        <v>41.785519999999991</v>
      </c>
      <c r="L347" s="7">
        <f>I347+J347+K347</f>
        <v>255.85942999999983</v>
      </c>
      <c r="M347" s="7">
        <f>H347-L347</f>
        <v>788.77856999999983</v>
      </c>
    </row>
    <row r="348" spans="1:13" x14ac:dyDescent="0.3">
      <c r="A348" t="s">
        <v>184</v>
      </c>
      <c r="B348" t="s">
        <v>17</v>
      </c>
      <c r="C348" s="7">
        <v>24.15</v>
      </c>
      <c r="D348" s="8">
        <v>42.2</v>
      </c>
      <c r="E348" s="8">
        <f>MAX(0, D348-40)</f>
        <v>2.2000000000000028</v>
      </c>
      <c r="F348" s="7">
        <f>MIN(D348,40)*C348</f>
        <v>966</v>
      </c>
      <c r="G348" s="9">
        <f>E348 * C348 * 1.5</f>
        <v>79.695000000000107</v>
      </c>
      <c r="H348" s="7">
        <f>F348+G348</f>
        <v>1045.6950000000002</v>
      </c>
      <c r="I348" s="7">
        <f>MAX(0,
IF(H348&lt;=800,
H348*0.2,
800*0.2+(H348-800)*0.4
)-70
)</f>
        <v>188.27800000000008</v>
      </c>
      <c r="J348" s="7">
        <f>IF(H348&lt;=231,
H348*0.005,
IF(H348&lt;=693,
231*0.005+(H348-231)*0.02,
231*0.005+462*0.02+(H348-693)*0.045
))</f>
        <v>26.266275000000007</v>
      </c>
      <c r="K348" s="7">
        <f>H348*0.04</f>
        <v>41.827800000000011</v>
      </c>
      <c r="L348" s="7">
        <f>I348+J348+K348</f>
        <v>256.37207500000011</v>
      </c>
      <c r="M348" s="7">
        <f>H348-L348</f>
        <v>789.32292500000005</v>
      </c>
    </row>
    <row r="349" spans="1:13" x14ac:dyDescent="0.3">
      <c r="A349" t="s">
        <v>65</v>
      </c>
      <c r="B349" t="s">
        <v>66</v>
      </c>
      <c r="C349" s="7">
        <v>24.76</v>
      </c>
      <c r="D349" s="8">
        <v>41.5</v>
      </c>
      <c r="E349" s="8">
        <f>MAX(0, D349-40)</f>
        <v>1.5</v>
      </c>
      <c r="F349" s="7">
        <f>MIN(D349,40)*C349</f>
        <v>990.40000000000009</v>
      </c>
      <c r="G349" s="9">
        <f>E349 * C349 * 1.5</f>
        <v>55.71</v>
      </c>
      <c r="H349" s="7">
        <f>F349+G349</f>
        <v>1046.1100000000001</v>
      </c>
      <c r="I349" s="7">
        <f>MAX(0,
IF(H349&lt;=800,
H349*0.2,
800*0.2+(H349-800)*0.4
)-70
)</f>
        <v>188.44400000000007</v>
      </c>
      <c r="J349" s="7">
        <f>IF(H349&lt;=231,
H349*0.005,
IF(H349&lt;=693,
231*0.005+(H349-231)*0.02,
231*0.005+462*0.02+(H349-693)*0.045
))</f>
        <v>26.284950000000006</v>
      </c>
      <c r="K349" s="7">
        <f>H349*0.04</f>
        <v>41.844400000000007</v>
      </c>
      <c r="L349" s="7">
        <f>I349+J349+K349</f>
        <v>256.57335000000012</v>
      </c>
      <c r="M349" s="7">
        <f>H349-L349</f>
        <v>789.53665000000001</v>
      </c>
    </row>
    <row r="350" spans="1:13" x14ac:dyDescent="0.3">
      <c r="A350" t="s">
        <v>170</v>
      </c>
      <c r="B350" t="s">
        <v>11</v>
      </c>
      <c r="C350" s="7">
        <v>25.03</v>
      </c>
      <c r="D350" s="8">
        <v>41.3</v>
      </c>
      <c r="E350" s="8">
        <f>MAX(0, D350-40)</f>
        <v>1.2999999999999972</v>
      </c>
      <c r="F350" s="7">
        <f>MIN(D350,40)*C350</f>
        <v>1001.2</v>
      </c>
      <c r="G350" s="9">
        <f>E350 * C350 * 1.5</f>
        <v>48.808499999999896</v>
      </c>
      <c r="H350" s="7">
        <f>F350+G350</f>
        <v>1050.0084999999999</v>
      </c>
      <c r="I350" s="7">
        <f>MAX(0,
IF(H350&lt;=800,
H350*0.2,
800*0.2+(H350-800)*0.4
)-70
)</f>
        <v>190.00339999999994</v>
      </c>
      <c r="J350" s="7">
        <f>IF(H350&lt;=231,
H350*0.005,
IF(H350&lt;=693,
231*0.005+(H350-231)*0.02,
231*0.005+462*0.02+(H350-693)*0.045
))</f>
        <v>26.460382499999994</v>
      </c>
      <c r="K350" s="7">
        <f>H350*0.04</f>
        <v>42.000339999999994</v>
      </c>
      <c r="L350" s="7">
        <f>I350+J350+K350</f>
        <v>258.46412249999992</v>
      </c>
      <c r="M350" s="7">
        <f>H350-L350</f>
        <v>791.5443775</v>
      </c>
    </row>
    <row r="351" spans="1:13" x14ac:dyDescent="0.3">
      <c r="A351" t="s">
        <v>120</v>
      </c>
      <c r="B351" t="s">
        <v>7</v>
      </c>
      <c r="C351" s="7">
        <v>28.12</v>
      </c>
      <c r="D351" s="8">
        <v>37.4</v>
      </c>
      <c r="E351" s="8">
        <f>MAX(0, D351-40)</f>
        <v>0</v>
      </c>
      <c r="F351" s="7">
        <f>MIN(D351,40)*C351</f>
        <v>1051.6880000000001</v>
      </c>
      <c r="G351" s="9">
        <f>E351 * C351 * 1.5</f>
        <v>0</v>
      </c>
      <c r="H351" s="7">
        <f>F351+G351</f>
        <v>1051.6880000000001</v>
      </c>
      <c r="I351" s="7">
        <f>MAX(0,
IF(H351&lt;=800,
H351*0.2,
800*0.2+(H351-800)*0.4
)-70
)</f>
        <v>190.67520000000002</v>
      </c>
      <c r="J351" s="7">
        <f>IF(H351&lt;=231,
H351*0.005,
IF(H351&lt;=693,
231*0.005+(H351-231)*0.02,
231*0.005+462*0.02+(H351-693)*0.045
))</f>
        <v>26.535960000000003</v>
      </c>
      <c r="K351" s="7">
        <f>H351*0.04</f>
        <v>42.067520000000002</v>
      </c>
      <c r="L351" s="7">
        <f>I351+J351+K351</f>
        <v>259.27868000000001</v>
      </c>
      <c r="M351" s="7">
        <f>H351-L351</f>
        <v>792.40932000000009</v>
      </c>
    </row>
    <row r="352" spans="1:13" x14ac:dyDescent="0.3">
      <c r="A352" t="s">
        <v>258</v>
      </c>
      <c r="B352" t="s">
        <v>46</v>
      </c>
      <c r="C352" s="7">
        <v>26.47</v>
      </c>
      <c r="D352" s="8">
        <v>39.9</v>
      </c>
      <c r="E352" s="8">
        <f>MAX(0, D352-40)</f>
        <v>0</v>
      </c>
      <c r="F352" s="7">
        <f>MIN(D352,40)*C352</f>
        <v>1056.153</v>
      </c>
      <c r="G352" s="9">
        <f>E352 * C352 * 1.5</f>
        <v>0</v>
      </c>
      <c r="H352" s="7">
        <f>F352+G352</f>
        <v>1056.153</v>
      </c>
      <c r="I352" s="7">
        <f>MAX(0,
IF(H352&lt;=800,
H352*0.2,
800*0.2+(H352-800)*0.4
)-70
)</f>
        <v>192.46120000000002</v>
      </c>
      <c r="J352" s="7">
        <f>IF(H352&lt;=231,
H352*0.005,
IF(H352&lt;=693,
231*0.005+(H352-231)*0.02,
231*0.005+462*0.02+(H352-693)*0.045
))</f>
        <v>26.736885000000001</v>
      </c>
      <c r="K352" s="7">
        <f>H352*0.04</f>
        <v>42.246120000000005</v>
      </c>
      <c r="L352" s="7">
        <f>I352+J352+K352</f>
        <v>261.44420500000001</v>
      </c>
      <c r="M352" s="7">
        <f>H352-L352</f>
        <v>794.70879500000001</v>
      </c>
    </row>
    <row r="353" spans="1:13" x14ac:dyDescent="0.3">
      <c r="A353" t="s">
        <v>352</v>
      </c>
      <c r="B353" t="s">
        <v>66</v>
      </c>
      <c r="C353" s="7">
        <v>29.04</v>
      </c>
      <c r="D353" s="8">
        <v>36.4</v>
      </c>
      <c r="E353" s="8">
        <f>MAX(0, D353-40)</f>
        <v>0</v>
      </c>
      <c r="F353" s="7">
        <f>MIN(D353,40)*C353</f>
        <v>1057.056</v>
      </c>
      <c r="G353" s="9">
        <f>E353 * C353 * 1.5</f>
        <v>0</v>
      </c>
      <c r="H353" s="7">
        <f>F353+G353</f>
        <v>1057.056</v>
      </c>
      <c r="I353" s="7">
        <f>MAX(0,
IF(H353&lt;=800,
H353*0.2,
800*0.2+(H353-800)*0.4
)-70
)</f>
        <v>192.82240000000002</v>
      </c>
      <c r="J353" s="7">
        <f>IF(H353&lt;=231,
H353*0.005,
IF(H353&lt;=693,
231*0.005+(H353-231)*0.02,
231*0.005+462*0.02+(H353-693)*0.045
))</f>
        <v>26.777519999999999</v>
      </c>
      <c r="K353" s="7">
        <f>H353*0.04</f>
        <v>42.282240000000002</v>
      </c>
      <c r="L353" s="7">
        <f>I353+J353+K353</f>
        <v>261.88216</v>
      </c>
      <c r="M353" s="7">
        <f>H353-L353</f>
        <v>795.17384000000004</v>
      </c>
    </row>
    <row r="354" spans="1:13" x14ac:dyDescent="0.3">
      <c r="A354" t="s">
        <v>238</v>
      </c>
      <c r="B354" t="s">
        <v>101</v>
      </c>
      <c r="C354" s="7">
        <v>26.77</v>
      </c>
      <c r="D354" s="8">
        <v>39.5</v>
      </c>
      <c r="E354" s="8">
        <f>MAX(0, D354-40)</f>
        <v>0</v>
      </c>
      <c r="F354" s="7">
        <f>MIN(D354,40)*C354</f>
        <v>1057.415</v>
      </c>
      <c r="G354" s="9">
        <f>E354 * C354 * 1.5</f>
        <v>0</v>
      </c>
      <c r="H354" s="7">
        <f>F354+G354</f>
        <v>1057.415</v>
      </c>
      <c r="I354" s="7">
        <f>MAX(0,
IF(H354&lt;=800,
H354*0.2,
800*0.2+(H354-800)*0.4
)-70
)</f>
        <v>192.96600000000001</v>
      </c>
      <c r="J354" s="7">
        <f>IF(H354&lt;=231,
H354*0.005,
IF(H354&lt;=693,
231*0.005+(H354-231)*0.02,
231*0.005+462*0.02+(H354-693)*0.045
))</f>
        <v>26.793674999999997</v>
      </c>
      <c r="K354" s="7">
        <f>H354*0.04</f>
        <v>42.296599999999998</v>
      </c>
      <c r="L354" s="7">
        <f>I354+J354+K354</f>
        <v>262.05627500000003</v>
      </c>
      <c r="M354" s="7">
        <f>H354-L354</f>
        <v>795.35872499999994</v>
      </c>
    </row>
    <row r="355" spans="1:13" x14ac:dyDescent="0.3">
      <c r="A355" t="s">
        <v>384</v>
      </c>
      <c r="B355" t="s">
        <v>209</v>
      </c>
      <c r="C355" s="7">
        <v>24.9</v>
      </c>
      <c r="D355" s="8">
        <v>41.7</v>
      </c>
      <c r="E355" s="8">
        <f>MAX(0, D355-40)</f>
        <v>1.7000000000000028</v>
      </c>
      <c r="F355" s="7">
        <f>MIN(D355,40)*C355</f>
        <v>996</v>
      </c>
      <c r="G355" s="9">
        <f>E355 * C355 * 1.5</f>
        <v>63.495000000000104</v>
      </c>
      <c r="H355" s="7">
        <f>F355+G355</f>
        <v>1059.4950000000001</v>
      </c>
      <c r="I355" s="7">
        <f>MAX(0,
IF(H355&lt;=800,
H355*0.2,
800*0.2+(H355-800)*0.4
)-70
)</f>
        <v>193.79800000000006</v>
      </c>
      <c r="J355" s="7">
        <f>IF(H355&lt;=231,
H355*0.005,
IF(H355&lt;=693,
231*0.005+(H355-231)*0.02,
231*0.005+462*0.02+(H355-693)*0.045
))</f>
        <v>26.887275000000006</v>
      </c>
      <c r="K355" s="7">
        <f>H355*0.04</f>
        <v>42.379800000000003</v>
      </c>
      <c r="L355" s="7">
        <f>I355+J355+K355</f>
        <v>263.06507500000009</v>
      </c>
      <c r="M355" s="7">
        <f>H355-L355</f>
        <v>796.42992500000003</v>
      </c>
    </row>
    <row r="356" spans="1:13" x14ac:dyDescent="0.3">
      <c r="A356" t="s">
        <v>346</v>
      </c>
      <c r="B356" t="s">
        <v>125</v>
      </c>
      <c r="C356" s="7">
        <v>24.23</v>
      </c>
      <c r="D356" s="8">
        <v>42.6</v>
      </c>
      <c r="E356" s="8">
        <f>MAX(0, D356-40)</f>
        <v>2.6000000000000014</v>
      </c>
      <c r="F356" s="7">
        <f>MIN(D356,40)*C356</f>
        <v>969.2</v>
      </c>
      <c r="G356" s="9">
        <f>E356 * C356 * 1.5</f>
        <v>94.497000000000043</v>
      </c>
      <c r="H356" s="7">
        <f>F356+G356</f>
        <v>1063.6970000000001</v>
      </c>
      <c r="I356" s="7">
        <f>MAX(0,
IF(H356&lt;=800,
H356*0.2,
800*0.2+(H356-800)*0.4
)-70
)</f>
        <v>195.47880000000004</v>
      </c>
      <c r="J356" s="7">
        <f>IF(H356&lt;=231,
H356*0.005,
IF(H356&lt;=693,
231*0.005+(H356-231)*0.02,
231*0.005+462*0.02+(H356-693)*0.045
))</f>
        <v>27.076365000000003</v>
      </c>
      <c r="K356" s="7">
        <f>H356*0.04</f>
        <v>42.547880000000006</v>
      </c>
      <c r="L356" s="7">
        <f>I356+J356+K356</f>
        <v>265.10304500000007</v>
      </c>
      <c r="M356" s="7">
        <f>H356-L356</f>
        <v>798.59395500000005</v>
      </c>
    </row>
    <row r="357" spans="1:13" x14ac:dyDescent="0.3">
      <c r="A357" t="s">
        <v>76</v>
      </c>
      <c r="B357" t="s">
        <v>25</v>
      </c>
      <c r="C357" s="7">
        <v>27.09</v>
      </c>
      <c r="D357" s="8">
        <v>39.299999999999997</v>
      </c>
      <c r="E357" s="8">
        <f>MAX(0, D357-40)</f>
        <v>0</v>
      </c>
      <c r="F357" s="7">
        <f>MIN(D357,40)*C357</f>
        <v>1064.6369999999999</v>
      </c>
      <c r="G357" s="9">
        <f>E357 * C357 * 1.5</f>
        <v>0</v>
      </c>
      <c r="H357" s="7">
        <f>F357+G357</f>
        <v>1064.6369999999999</v>
      </c>
      <c r="I357" s="7">
        <f>MAX(0,
IF(H357&lt;=800,
H357*0.2,
800*0.2+(H357-800)*0.4
)-70
)</f>
        <v>195.85479999999995</v>
      </c>
      <c r="J357" s="7">
        <f>IF(H357&lt;=231,
H357*0.005,
IF(H357&lt;=693,
231*0.005+(H357-231)*0.02,
231*0.005+462*0.02+(H357-693)*0.045
))</f>
        <v>27.118664999999996</v>
      </c>
      <c r="K357" s="7">
        <f>H357*0.04</f>
        <v>42.585479999999997</v>
      </c>
      <c r="L357" s="7">
        <f>I357+J357+K357</f>
        <v>265.55894499999994</v>
      </c>
      <c r="M357" s="7">
        <f>H357-L357</f>
        <v>799.07805499999995</v>
      </c>
    </row>
    <row r="358" spans="1:13" x14ac:dyDescent="0.3">
      <c r="A358" t="s">
        <v>135</v>
      </c>
      <c r="B358" t="s">
        <v>59</v>
      </c>
      <c r="C358" s="7">
        <v>23.78</v>
      </c>
      <c r="D358" s="8">
        <v>43.2</v>
      </c>
      <c r="E358" s="8">
        <f>MAX(0, D358-40)</f>
        <v>3.2000000000000028</v>
      </c>
      <c r="F358" s="7">
        <f>MIN(D358,40)*C358</f>
        <v>951.2</v>
      </c>
      <c r="G358" s="9">
        <f>E358 * C358 * 1.5</f>
        <v>114.14400000000012</v>
      </c>
      <c r="H358" s="7">
        <f>F358+G358</f>
        <v>1065.3440000000001</v>
      </c>
      <c r="I358" s="7">
        <f>MAX(0,
IF(H358&lt;=800,
H358*0.2,
800*0.2+(H358-800)*0.4
)-70
)</f>
        <v>196.13760000000002</v>
      </c>
      <c r="J358" s="7">
        <f>IF(H358&lt;=231,
H358*0.005,
IF(H358&lt;=693,
231*0.005+(H358-231)*0.02,
231*0.005+462*0.02+(H358-693)*0.045
))</f>
        <v>27.150480000000002</v>
      </c>
      <c r="K358" s="7">
        <f>H358*0.04</f>
        <v>42.613760000000006</v>
      </c>
      <c r="L358" s="7">
        <f>I358+J358+K358</f>
        <v>265.90184000000005</v>
      </c>
      <c r="M358" s="7">
        <f>H358-L358</f>
        <v>799.44216000000006</v>
      </c>
    </row>
    <row r="359" spans="1:13" x14ac:dyDescent="0.3">
      <c r="A359" t="s">
        <v>341</v>
      </c>
      <c r="B359" t="s">
        <v>23</v>
      </c>
      <c r="C359" s="7">
        <v>23.41</v>
      </c>
      <c r="D359" s="8">
        <v>43.7</v>
      </c>
      <c r="E359" s="8">
        <f>MAX(0, D359-40)</f>
        <v>3.7000000000000028</v>
      </c>
      <c r="F359" s="7">
        <f>MIN(D359,40)*C359</f>
        <v>936.4</v>
      </c>
      <c r="G359" s="9">
        <f>E359 * C359 * 1.5</f>
        <v>129.92550000000008</v>
      </c>
      <c r="H359" s="7">
        <f>F359+G359</f>
        <v>1066.3255000000001</v>
      </c>
      <c r="I359" s="7">
        <f>MAX(0,
IF(H359&lt;=800,
H359*0.2,
800*0.2+(H359-800)*0.4
)-70
)</f>
        <v>196.53020000000004</v>
      </c>
      <c r="J359" s="7">
        <f>IF(H359&lt;=231,
H359*0.005,
IF(H359&lt;=693,
231*0.005+(H359-231)*0.02,
231*0.005+462*0.02+(H359-693)*0.045
))</f>
        <v>27.194647500000006</v>
      </c>
      <c r="K359" s="7">
        <f>H359*0.04</f>
        <v>42.653020000000005</v>
      </c>
      <c r="L359" s="7">
        <f>I359+J359+K359</f>
        <v>266.37786750000004</v>
      </c>
      <c r="M359" s="7">
        <f>H359-L359</f>
        <v>799.94763250000005</v>
      </c>
    </row>
    <row r="360" spans="1:13" x14ac:dyDescent="0.3">
      <c r="A360" t="s">
        <v>268</v>
      </c>
      <c r="B360" t="s">
        <v>25</v>
      </c>
      <c r="C360" s="7">
        <v>28.62</v>
      </c>
      <c r="D360" s="8">
        <v>37.4</v>
      </c>
      <c r="E360" s="8">
        <f>MAX(0, D360-40)</f>
        <v>0</v>
      </c>
      <c r="F360" s="7">
        <f>MIN(D360,40)*C360</f>
        <v>1070.3879999999999</v>
      </c>
      <c r="G360" s="9">
        <f>E360 * C360 * 1.5</f>
        <v>0</v>
      </c>
      <c r="H360" s="7">
        <f>F360+G360</f>
        <v>1070.3879999999999</v>
      </c>
      <c r="I360" s="7">
        <f>MAX(0,
IF(H360&lt;=800,
H360*0.2,
800*0.2+(H360-800)*0.4
)-70
)</f>
        <v>198.15519999999998</v>
      </c>
      <c r="J360" s="7">
        <f>IF(H360&lt;=231,
H360*0.005,
IF(H360&lt;=693,
231*0.005+(H360-231)*0.02,
231*0.005+462*0.02+(H360-693)*0.045
))</f>
        <v>27.377459999999996</v>
      </c>
      <c r="K360" s="7">
        <f>H360*0.04</f>
        <v>42.815519999999999</v>
      </c>
      <c r="L360" s="7">
        <f>I360+J360+K360</f>
        <v>268.34817999999996</v>
      </c>
      <c r="M360" s="7">
        <f>H360-L360</f>
        <v>802.03981999999996</v>
      </c>
    </row>
    <row r="361" spans="1:13" x14ac:dyDescent="0.3">
      <c r="A361" t="s">
        <v>418</v>
      </c>
      <c r="B361" t="s">
        <v>23</v>
      </c>
      <c r="C361" s="7">
        <v>22.68</v>
      </c>
      <c r="D361" s="8">
        <v>44.8</v>
      </c>
      <c r="E361" s="8">
        <f>MAX(0, D361-40)</f>
        <v>4.7999999999999972</v>
      </c>
      <c r="F361" s="7">
        <f>MIN(D361,40)*C361</f>
        <v>907.2</v>
      </c>
      <c r="G361" s="9">
        <f>E361 * C361 * 1.5</f>
        <v>163.29599999999991</v>
      </c>
      <c r="H361" s="7">
        <f>F361+G361</f>
        <v>1070.4959999999999</v>
      </c>
      <c r="I361" s="7">
        <f>MAX(0,
IF(H361&lt;=800,
H361*0.2,
800*0.2+(H361-800)*0.4
)-70
)</f>
        <v>198.19839999999994</v>
      </c>
      <c r="J361" s="7">
        <f>IF(H361&lt;=231,
H361*0.005,
IF(H361&lt;=693,
231*0.005+(H361-231)*0.02,
231*0.005+462*0.02+(H361-693)*0.045
))</f>
        <v>27.382319999999993</v>
      </c>
      <c r="K361" s="7">
        <f>H361*0.04</f>
        <v>42.819839999999992</v>
      </c>
      <c r="L361" s="7">
        <f>I361+J361+K361</f>
        <v>268.40055999999993</v>
      </c>
      <c r="M361" s="7">
        <f>H361-L361</f>
        <v>802.09543999999994</v>
      </c>
    </row>
    <row r="362" spans="1:13" x14ac:dyDescent="0.3">
      <c r="A362" t="s">
        <v>380</v>
      </c>
      <c r="B362" t="s">
        <v>209</v>
      </c>
      <c r="C362" s="7">
        <v>24.63</v>
      </c>
      <c r="D362" s="8">
        <v>42.4</v>
      </c>
      <c r="E362" s="8">
        <f>MAX(0, D362-40)</f>
        <v>2.3999999999999986</v>
      </c>
      <c r="F362" s="7">
        <f>MIN(D362,40)*C362</f>
        <v>985.19999999999993</v>
      </c>
      <c r="G362" s="9">
        <f>E362 * C362 * 1.5</f>
        <v>88.667999999999935</v>
      </c>
      <c r="H362" s="7">
        <f>F362+G362</f>
        <v>1073.8679999999999</v>
      </c>
      <c r="I362" s="7">
        <f>MAX(0,
IF(H362&lt;=800,
H362*0.2,
800*0.2+(H362-800)*0.4
)-70
)</f>
        <v>199.54719999999998</v>
      </c>
      <c r="J362" s="7">
        <f>IF(H362&lt;=231,
H362*0.005,
IF(H362&lt;=693,
231*0.005+(H362-231)*0.02,
231*0.005+462*0.02+(H362-693)*0.045
))</f>
        <v>27.534059999999997</v>
      </c>
      <c r="K362" s="7">
        <f>H362*0.04</f>
        <v>42.954720000000002</v>
      </c>
      <c r="L362" s="7">
        <f>I362+J362+K362</f>
        <v>270.03598</v>
      </c>
      <c r="M362" s="7">
        <f>H362-L362</f>
        <v>803.83201999999994</v>
      </c>
    </row>
    <row r="363" spans="1:13" x14ac:dyDescent="0.3">
      <c r="A363" t="s">
        <v>235</v>
      </c>
      <c r="B363" t="s">
        <v>101</v>
      </c>
      <c r="C363" s="7">
        <v>23.67</v>
      </c>
      <c r="D363" s="8">
        <v>43.6</v>
      </c>
      <c r="E363" s="8">
        <f>MAX(0, D363-40)</f>
        <v>3.6000000000000014</v>
      </c>
      <c r="F363" s="7">
        <f>MIN(D363,40)*C363</f>
        <v>946.80000000000007</v>
      </c>
      <c r="G363" s="9">
        <f>E363 * C363 * 1.5</f>
        <v>127.81800000000007</v>
      </c>
      <c r="H363" s="7">
        <f>F363+G363</f>
        <v>1074.6180000000002</v>
      </c>
      <c r="I363" s="7">
        <f>MAX(0,
IF(H363&lt;=800,
H363*0.2,
800*0.2+(H363-800)*0.4
)-70
)</f>
        <v>199.84720000000004</v>
      </c>
      <c r="J363" s="7">
        <f>IF(H363&lt;=231,
H363*0.005,
IF(H363&lt;=693,
231*0.005+(H363-231)*0.02,
231*0.005+462*0.02+(H363-693)*0.045
))</f>
        <v>27.567810000000005</v>
      </c>
      <c r="K363" s="7">
        <f>H363*0.04</f>
        <v>42.98472000000001</v>
      </c>
      <c r="L363" s="7">
        <f>I363+J363+K363</f>
        <v>270.39973000000009</v>
      </c>
      <c r="M363" s="7">
        <f>H363-L363</f>
        <v>804.21827000000008</v>
      </c>
    </row>
    <row r="364" spans="1:13" x14ac:dyDescent="0.3">
      <c r="A364" t="s">
        <v>143</v>
      </c>
      <c r="B364" t="s">
        <v>57</v>
      </c>
      <c r="C364" s="7">
        <v>26.85</v>
      </c>
      <c r="D364" s="8">
        <v>40.1</v>
      </c>
      <c r="E364" s="8">
        <f>MAX(0, D364-40)</f>
        <v>0.10000000000000142</v>
      </c>
      <c r="F364" s="7">
        <f>MIN(D364,40)*C364</f>
        <v>1074</v>
      </c>
      <c r="G364" s="9">
        <f>E364 * C364 * 1.5</f>
        <v>4.0275000000000576</v>
      </c>
      <c r="H364" s="7">
        <f>F364+G364</f>
        <v>1078.0275000000001</v>
      </c>
      <c r="I364" s="7">
        <f>MAX(0,
IF(H364&lt;=800,
H364*0.2,
800*0.2+(H364-800)*0.4
)-70
)</f>
        <v>201.21100000000007</v>
      </c>
      <c r="J364" s="7">
        <f>IF(H364&lt;=231,
H364*0.005,
IF(H364&lt;=693,
231*0.005+(H364-231)*0.02,
231*0.005+462*0.02+(H364-693)*0.045
))</f>
        <v>27.721237500000004</v>
      </c>
      <c r="K364" s="7">
        <f>H364*0.04</f>
        <v>43.121100000000006</v>
      </c>
      <c r="L364" s="7">
        <f>I364+J364+K364</f>
        <v>272.05333750000005</v>
      </c>
      <c r="M364" s="7">
        <f>H364-L364</f>
        <v>805.97416250000015</v>
      </c>
    </row>
    <row r="365" spans="1:13" x14ac:dyDescent="0.3">
      <c r="A365" t="s">
        <v>309</v>
      </c>
      <c r="B365" t="s">
        <v>55</v>
      </c>
      <c r="C365" s="7">
        <v>25.71</v>
      </c>
      <c r="D365" s="8">
        <v>41.3</v>
      </c>
      <c r="E365" s="8">
        <f>MAX(0, D365-40)</f>
        <v>1.2999999999999972</v>
      </c>
      <c r="F365" s="7">
        <f>MIN(D365,40)*C365</f>
        <v>1028.4000000000001</v>
      </c>
      <c r="G365" s="9">
        <f>E365 * C365 * 1.5</f>
        <v>50.134499999999896</v>
      </c>
      <c r="H365" s="7">
        <f>F365+G365</f>
        <v>1078.5345</v>
      </c>
      <c r="I365" s="7">
        <f>MAX(0,
IF(H365&lt;=800,
H365*0.2,
800*0.2+(H365-800)*0.4
)-70
)</f>
        <v>201.41379999999998</v>
      </c>
      <c r="J365" s="7">
        <f>IF(H365&lt;=231,
H365*0.005,
IF(H365&lt;=693,
231*0.005+(H365-231)*0.02,
231*0.005+462*0.02+(H365-693)*0.045
))</f>
        <v>27.744052499999999</v>
      </c>
      <c r="K365" s="7">
        <f>H365*0.04</f>
        <v>43.141379999999998</v>
      </c>
      <c r="L365" s="7">
        <f>I365+J365+K365</f>
        <v>272.29923250000002</v>
      </c>
      <c r="M365" s="7">
        <f>H365-L365</f>
        <v>806.23526749999996</v>
      </c>
    </row>
    <row r="366" spans="1:13" x14ac:dyDescent="0.3">
      <c r="A366" t="s">
        <v>379</v>
      </c>
      <c r="B366" t="s">
        <v>125</v>
      </c>
      <c r="C366" s="7">
        <v>27.46</v>
      </c>
      <c r="D366" s="8">
        <v>39.6</v>
      </c>
      <c r="E366" s="8">
        <f>MAX(0, D366-40)</f>
        <v>0</v>
      </c>
      <c r="F366" s="7">
        <f>MIN(D366,40)*C366</f>
        <v>1087.4160000000002</v>
      </c>
      <c r="G366" s="9">
        <f>E366 * C366 * 1.5</f>
        <v>0</v>
      </c>
      <c r="H366" s="7">
        <f>F366+G366</f>
        <v>1087.4160000000002</v>
      </c>
      <c r="I366" s="7">
        <f>MAX(0,
IF(H366&lt;=800,
H366*0.2,
800*0.2+(H366-800)*0.4
)-70
)</f>
        <v>204.96640000000008</v>
      </c>
      <c r="J366" s="7">
        <f>IF(H366&lt;=231,
H366*0.005,
IF(H366&lt;=693,
231*0.005+(H366-231)*0.02,
231*0.005+462*0.02+(H366-693)*0.045
))</f>
        <v>28.143720000000005</v>
      </c>
      <c r="K366" s="7">
        <f>H366*0.04</f>
        <v>43.496640000000006</v>
      </c>
      <c r="L366" s="7">
        <f>I366+J366+K366</f>
        <v>276.60676000000007</v>
      </c>
      <c r="M366" s="7">
        <f>H366-L366</f>
        <v>810.80924000000005</v>
      </c>
    </row>
    <row r="367" spans="1:13" x14ac:dyDescent="0.3">
      <c r="A367" t="s">
        <v>334</v>
      </c>
      <c r="B367" t="s">
        <v>209</v>
      </c>
      <c r="C367" s="7">
        <v>28.4</v>
      </c>
      <c r="D367" s="8">
        <v>38.4</v>
      </c>
      <c r="E367" s="8">
        <f>MAX(0, D367-40)</f>
        <v>0</v>
      </c>
      <c r="F367" s="7">
        <f>MIN(D367,40)*C367</f>
        <v>1090.56</v>
      </c>
      <c r="G367" s="9">
        <f>E367 * C367 * 1.5</f>
        <v>0</v>
      </c>
      <c r="H367" s="7">
        <f>F367+G367</f>
        <v>1090.56</v>
      </c>
      <c r="I367" s="7">
        <f>MAX(0,
IF(H367&lt;=800,
H367*0.2,
800*0.2+(H367-800)*0.4
)-70
)</f>
        <v>206.22399999999999</v>
      </c>
      <c r="J367" s="7">
        <f>IF(H367&lt;=231,
H367*0.005,
IF(H367&lt;=693,
231*0.005+(H367-231)*0.02,
231*0.005+462*0.02+(H367-693)*0.045
))</f>
        <v>28.285199999999996</v>
      </c>
      <c r="K367" s="7">
        <f>H367*0.04</f>
        <v>43.622399999999999</v>
      </c>
      <c r="L367" s="7">
        <f>I367+J367+K367</f>
        <v>278.13159999999999</v>
      </c>
      <c r="M367" s="7">
        <f>H367-L367</f>
        <v>812.42840000000001</v>
      </c>
    </row>
    <row r="368" spans="1:13" x14ac:dyDescent="0.3">
      <c r="A368" t="s">
        <v>295</v>
      </c>
      <c r="B368" t="s">
        <v>145</v>
      </c>
      <c r="C368" s="7">
        <v>26.12</v>
      </c>
      <c r="D368" s="8">
        <v>41.2</v>
      </c>
      <c r="E368" s="8">
        <f>MAX(0, D368-40)</f>
        <v>1.2000000000000028</v>
      </c>
      <c r="F368" s="7">
        <f>MIN(D368,40)*C368</f>
        <v>1044.8</v>
      </c>
      <c r="G368" s="9">
        <f>E368 * C368 * 1.5</f>
        <v>47.016000000000112</v>
      </c>
      <c r="H368" s="7">
        <f>F368+G368</f>
        <v>1091.816</v>
      </c>
      <c r="I368" s="7">
        <f>MAX(0,
IF(H368&lt;=800,
H368*0.2,
800*0.2+(H368-800)*0.4
)-70
)</f>
        <v>206.72640000000001</v>
      </c>
      <c r="J368" s="7">
        <f>IF(H368&lt;=231,
H368*0.005,
IF(H368&lt;=693,
231*0.005+(H368-231)*0.02,
231*0.005+462*0.02+(H368-693)*0.045
))</f>
        <v>28.341719999999999</v>
      </c>
      <c r="K368" s="7">
        <f>H368*0.04</f>
        <v>43.672640000000001</v>
      </c>
      <c r="L368" s="7">
        <f>I368+J368+K368</f>
        <v>278.74076000000002</v>
      </c>
      <c r="M368" s="7">
        <f>H368-L368</f>
        <v>813.07524000000001</v>
      </c>
    </row>
    <row r="369" spans="1:13" x14ac:dyDescent="0.3">
      <c r="A369" t="s">
        <v>415</v>
      </c>
      <c r="B369" t="s">
        <v>23</v>
      </c>
      <c r="C369" s="7">
        <v>23.68</v>
      </c>
      <c r="D369" s="8">
        <v>44.1</v>
      </c>
      <c r="E369" s="8">
        <f>MAX(0, D369-40)</f>
        <v>4.1000000000000014</v>
      </c>
      <c r="F369" s="7">
        <f>MIN(D369,40)*C369</f>
        <v>947.2</v>
      </c>
      <c r="G369" s="9">
        <f>E369 * C369 * 1.5</f>
        <v>145.63200000000006</v>
      </c>
      <c r="H369" s="7">
        <f>F369+G369</f>
        <v>1092.8320000000001</v>
      </c>
      <c r="I369" s="7">
        <f>MAX(0,
IF(H369&lt;=800,
H369*0.2,
800*0.2+(H369-800)*0.4
)-70
)</f>
        <v>207.13280000000003</v>
      </c>
      <c r="J369" s="7">
        <f>IF(H369&lt;=231,
H369*0.005,
IF(H369&lt;=693,
231*0.005+(H369-231)*0.02,
231*0.005+462*0.02+(H369-693)*0.045
))</f>
        <v>28.387440000000005</v>
      </c>
      <c r="K369" s="7">
        <f>H369*0.04</f>
        <v>43.713280000000005</v>
      </c>
      <c r="L369" s="7">
        <f>I369+J369+K369</f>
        <v>279.23352000000006</v>
      </c>
      <c r="M369" s="7">
        <f>H369-L369</f>
        <v>813.59848000000011</v>
      </c>
    </row>
    <row r="370" spans="1:13" x14ac:dyDescent="0.3">
      <c r="A370" t="s">
        <v>199</v>
      </c>
      <c r="B370" t="s">
        <v>145</v>
      </c>
      <c r="C370" s="7">
        <v>28.17</v>
      </c>
      <c r="D370" s="8">
        <v>38.799999999999997</v>
      </c>
      <c r="E370" s="8">
        <f>MAX(0, D370-40)</f>
        <v>0</v>
      </c>
      <c r="F370" s="7">
        <f>MIN(D370,40)*C370</f>
        <v>1092.9960000000001</v>
      </c>
      <c r="G370" s="9">
        <f>E370 * C370 * 1.5</f>
        <v>0</v>
      </c>
      <c r="H370" s="7">
        <f>F370+G370</f>
        <v>1092.9960000000001</v>
      </c>
      <c r="I370" s="7">
        <f>MAX(0,
IF(H370&lt;=800,
H370*0.2,
800*0.2+(H370-800)*0.4
)-70
)</f>
        <v>207.19840000000005</v>
      </c>
      <c r="J370" s="7">
        <f>IF(H370&lt;=231,
H370*0.005,
IF(H370&lt;=693,
231*0.005+(H370-231)*0.02,
231*0.005+462*0.02+(H370-693)*0.045
))</f>
        <v>28.394820000000003</v>
      </c>
      <c r="K370" s="7">
        <f>H370*0.04</f>
        <v>43.719840000000005</v>
      </c>
      <c r="L370" s="7">
        <f>I370+J370+K370</f>
        <v>279.31306000000006</v>
      </c>
      <c r="M370" s="7">
        <f>H370-L370</f>
        <v>813.68294000000003</v>
      </c>
    </row>
    <row r="371" spans="1:13" x14ac:dyDescent="0.3">
      <c r="A371" t="s">
        <v>337</v>
      </c>
      <c r="B371" t="s">
        <v>9</v>
      </c>
      <c r="C371" s="7">
        <v>27.68</v>
      </c>
      <c r="D371" s="8">
        <v>39.5</v>
      </c>
      <c r="E371" s="8">
        <f>MAX(0, D371-40)</f>
        <v>0</v>
      </c>
      <c r="F371" s="7">
        <f>MIN(D371,40)*C371</f>
        <v>1093.3599999999999</v>
      </c>
      <c r="G371" s="9">
        <f>E371 * C371 * 1.5</f>
        <v>0</v>
      </c>
      <c r="H371" s="7">
        <f>F371+G371</f>
        <v>1093.3599999999999</v>
      </c>
      <c r="I371" s="7">
        <f>MAX(0,
IF(H371&lt;=800,
H371*0.2,
800*0.2+(H371-800)*0.4
)-70
)</f>
        <v>207.34399999999994</v>
      </c>
      <c r="J371" s="7">
        <f>IF(H371&lt;=231,
H371*0.005,
IF(H371&lt;=693,
231*0.005+(H371-231)*0.02,
231*0.005+462*0.02+(H371-693)*0.045
))</f>
        <v>28.411199999999994</v>
      </c>
      <c r="K371" s="7">
        <f>H371*0.04</f>
        <v>43.734399999999994</v>
      </c>
      <c r="L371" s="7">
        <f>I371+J371+K371</f>
        <v>279.48959999999994</v>
      </c>
      <c r="M371" s="7">
        <f>H371-L371</f>
        <v>813.87040000000002</v>
      </c>
    </row>
    <row r="372" spans="1:13" x14ac:dyDescent="0.3">
      <c r="A372" t="s">
        <v>423</v>
      </c>
      <c r="B372" t="s">
        <v>37</v>
      </c>
      <c r="C372" s="7">
        <v>29.76</v>
      </c>
      <c r="D372" s="8">
        <v>36.799999999999997</v>
      </c>
      <c r="E372" s="8">
        <f>MAX(0, D372-40)</f>
        <v>0</v>
      </c>
      <c r="F372" s="7">
        <f>MIN(D372,40)*C372</f>
        <v>1095.1679999999999</v>
      </c>
      <c r="G372" s="9">
        <f>E372 * C372 * 1.5</f>
        <v>0</v>
      </c>
      <c r="H372" s="7">
        <f>F372+G372</f>
        <v>1095.1679999999999</v>
      </c>
      <c r="I372" s="7">
        <f>MAX(0,
IF(H372&lt;=800,
H372*0.2,
800*0.2+(H372-800)*0.4
)-70
)</f>
        <v>208.06719999999996</v>
      </c>
      <c r="J372" s="7">
        <f>IF(H372&lt;=231,
H372*0.005,
IF(H372&lt;=693,
231*0.005+(H372-231)*0.02,
231*0.005+462*0.02+(H372-693)*0.045
))</f>
        <v>28.492559999999994</v>
      </c>
      <c r="K372" s="7">
        <f>H372*0.04</f>
        <v>43.806719999999999</v>
      </c>
      <c r="L372" s="7">
        <f>I372+J372+K372</f>
        <v>280.36647999999997</v>
      </c>
      <c r="M372" s="7">
        <f>H372-L372</f>
        <v>814.80151999999998</v>
      </c>
    </row>
    <row r="373" spans="1:13" x14ac:dyDescent="0.3">
      <c r="A373" t="s">
        <v>354</v>
      </c>
      <c r="B373" t="s">
        <v>13</v>
      </c>
      <c r="C373" s="7">
        <v>26.87</v>
      </c>
      <c r="D373" s="8">
        <v>40.6</v>
      </c>
      <c r="E373" s="8">
        <f>MAX(0, D373-40)</f>
        <v>0.60000000000000142</v>
      </c>
      <c r="F373" s="7">
        <f>MIN(D373,40)*C373</f>
        <v>1074.8</v>
      </c>
      <c r="G373" s="9">
        <f>E373 * C373 * 1.5</f>
        <v>24.183000000000057</v>
      </c>
      <c r="H373" s="7">
        <f>F373+G373</f>
        <v>1098.9829999999999</v>
      </c>
      <c r="I373" s="7">
        <f>MAX(0,
IF(H373&lt;=800,
H373*0.2,
800*0.2+(H373-800)*0.4
)-70
)</f>
        <v>209.59319999999997</v>
      </c>
      <c r="J373" s="7">
        <f>IF(H373&lt;=231,
H373*0.005,
IF(H373&lt;=693,
231*0.005+(H373-231)*0.02,
231*0.005+462*0.02+(H373-693)*0.045
))</f>
        <v>28.664234999999998</v>
      </c>
      <c r="K373" s="7">
        <f>H373*0.04</f>
        <v>43.959319999999998</v>
      </c>
      <c r="L373" s="7">
        <f>I373+J373+K373</f>
        <v>282.21675499999998</v>
      </c>
      <c r="M373" s="7">
        <f>H373-L373</f>
        <v>816.76624500000003</v>
      </c>
    </row>
    <row r="374" spans="1:13" x14ac:dyDescent="0.3">
      <c r="A374" t="s">
        <v>443</v>
      </c>
      <c r="B374" t="s">
        <v>17</v>
      </c>
      <c r="C374" s="7">
        <v>26.21</v>
      </c>
      <c r="D374" s="8">
        <v>41.3</v>
      </c>
      <c r="E374" s="8">
        <f>MAX(0, D374-40)</f>
        <v>1.2999999999999972</v>
      </c>
      <c r="F374" s="7">
        <f>MIN(D374,40)*C374</f>
        <v>1048.4000000000001</v>
      </c>
      <c r="G374" s="9">
        <f>E374 * C374 * 1.5</f>
        <v>51.109499999999898</v>
      </c>
      <c r="H374" s="7">
        <f>F374+G374</f>
        <v>1099.5094999999999</v>
      </c>
      <c r="I374" s="7">
        <f>MAX(0,
IF(H374&lt;=800,
H374*0.2,
800*0.2+(H374-800)*0.4
)-70
)</f>
        <v>209.80379999999997</v>
      </c>
      <c r="J374" s="7">
        <f>IF(H374&lt;=231,
H374*0.005,
IF(H374&lt;=693,
231*0.005+(H374-231)*0.02,
231*0.005+462*0.02+(H374-693)*0.045
))</f>
        <v>28.687927499999994</v>
      </c>
      <c r="K374" s="7">
        <f>H374*0.04</f>
        <v>43.980379999999997</v>
      </c>
      <c r="L374" s="7">
        <f>I374+J374+K374</f>
        <v>282.47210749999999</v>
      </c>
      <c r="M374" s="7">
        <f>H374-L374</f>
        <v>817.0373924999999</v>
      </c>
    </row>
    <row r="375" spans="1:13" x14ac:dyDescent="0.3">
      <c r="A375" t="s">
        <v>327</v>
      </c>
      <c r="B375" t="s">
        <v>29</v>
      </c>
      <c r="C375" s="7">
        <v>27.43</v>
      </c>
      <c r="D375" s="8">
        <v>40.299999999999997</v>
      </c>
      <c r="E375" s="8">
        <f>MAX(0, D375-40)</f>
        <v>0.29999999999999716</v>
      </c>
      <c r="F375" s="7">
        <f>MIN(D375,40)*C375</f>
        <v>1097.2</v>
      </c>
      <c r="G375" s="9">
        <f>E375 * C375 * 1.5</f>
        <v>12.343499999999885</v>
      </c>
      <c r="H375" s="7">
        <f>F375+G375</f>
        <v>1109.5435</v>
      </c>
      <c r="I375" s="7">
        <f>MAX(0,
IF(H375&lt;=800,
H375*0.2,
800*0.2+(H375-800)*0.4
)-70
)</f>
        <v>213.81740000000002</v>
      </c>
      <c r="J375" s="7">
        <f>IF(H375&lt;=231,
H375*0.005,
IF(H375&lt;=693,
231*0.005+(H375-231)*0.02,
231*0.005+462*0.02+(H375-693)*0.045
))</f>
        <v>29.139457499999999</v>
      </c>
      <c r="K375" s="7">
        <f>H375*0.04</f>
        <v>44.381740000000001</v>
      </c>
      <c r="L375" s="7">
        <f>I375+J375+K375</f>
        <v>287.33859749999999</v>
      </c>
      <c r="M375" s="7">
        <f>H375-L375</f>
        <v>822.2049025</v>
      </c>
    </row>
    <row r="376" spans="1:13" x14ac:dyDescent="0.3">
      <c r="A376" t="s">
        <v>184</v>
      </c>
      <c r="B376" t="s">
        <v>27</v>
      </c>
      <c r="C376" s="7">
        <v>23.9</v>
      </c>
      <c r="D376" s="8">
        <v>44.3</v>
      </c>
      <c r="E376" s="8">
        <f>MAX(0, D376-40)</f>
        <v>4.2999999999999972</v>
      </c>
      <c r="F376" s="7">
        <f>MIN(D376,40)*C376</f>
        <v>956</v>
      </c>
      <c r="G376" s="9">
        <f>E376 * C376 * 1.5</f>
        <v>154.15499999999989</v>
      </c>
      <c r="H376" s="7">
        <f>F376+G376</f>
        <v>1110.155</v>
      </c>
      <c r="I376" s="7">
        <f>MAX(0,
IF(H376&lt;=800,
H376*0.2,
800*0.2+(H376-800)*0.4
)-70
)</f>
        <v>214.06200000000001</v>
      </c>
      <c r="J376" s="7">
        <f>IF(H376&lt;=231,
H376*0.005,
IF(H376&lt;=693,
231*0.005+(H376-231)*0.02,
231*0.005+462*0.02+(H376-693)*0.045
))</f>
        <v>29.166974999999997</v>
      </c>
      <c r="K376" s="7">
        <f>H376*0.04</f>
        <v>44.406199999999998</v>
      </c>
      <c r="L376" s="7">
        <f>I376+J376+K376</f>
        <v>287.635175</v>
      </c>
      <c r="M376" s="7">
        <f>H376-L376</f>
        <v>822.51982499999997</v>
      </c>
    </row>
    <row r="377" spans="1:13" x14ac:dyDescent="0.3">
      <c r="A377" t="s">
        <v>190</v>
      </c>
      <c r="B377" t="s">
        <v>59</v>
      </c>
      <c r="C377" s="7">
        <v>31.78</v>
      </c>
      <c r="D377" s="8">
        <v>35</v>
      </c>
      <c r="E377" s="8">
        <f>MAX(0, D377-40)</f>
        <v>0</v>
      </c>
      <c r="F377" s="7">
        <f>MIN(D377,40)*C377</f>
        <v>1112.3</v>
      </c>
      <c r="G377" s="9">
        <f>E377 * C377 * 1.5</f>
        <v>0</v>
      </c>
      <c r="H377" s="7">
        <f>F377+G377</f>
        <v>1112.3</v>
      </c>
      <c r="I377" s="7">
        <f>MAX(0,
IF(H377&lt;=800,
H377*0.2,
800*0.2+(H377-800)*0.4
)-70
)</f>
        <v>214.91999999999996</v>
      </c>
      <c r="J377" s="7">
        <f>IF(H377&lt;=231,
H377*0.005,
IF(H377&lt;=693,
231*0.005+(H377-231)*0.02,
231*0.005+462*0.02+(H377-693)*0.045
))</f>
        <v>29.263499999999997</v>
      </c>
      <c r="K377" s="7">
        <f>H377*0.04</f>
        <v>44.491999999999997</v>
      </c>
      <c r="L377" s="7">
        <f>I377+J377+K377</f>
        <v>288.67549999999994</v>
      </c>
      <c r="M377" s="7">
        <f>H377-L377</f>
        <v>823.62450000000001</v>
      </c>
    </row>
    <row r="378" spans="1:13" x14ac:dyDescent="0.3">
      <c r="A378" t="s">
        <v>104</v>
      </c>
      <c r="B378" t="s">
        <v>59</v>
      </c>
      <c r="C378" s="7">
        <v>26.27</v>
      </c>
      <c r="D378" s="8">
        <v>41.6</v>
      </c>
      <c r="E378" s="8">
        <f>MAX(0, D378-40)</f>
        <v>1.6000000000000014</v>
      </c>
      <c r="F378" s="7">
        <f>MIN(D378,40)*C378</f>
        <v>1050.8</v>
      </c>
      <c r="G378" s="9">
        <f>E378 * C378 * 1.5</f>
        <v>63.048000000000059</v>
      </c>
      <c r="H378" s="7">
        <f>F378+G378</f>
        <v>1113.848</v>
      </c>
      <c r="I378" s="7">
        <f>MAX(0,
IF(H378&lt;=800,
H378*0.2,
800*0.2+(H378-800)*0.4
)-70
)</f>
        <v>215.53919999999999</v>
      </c>
      <c r="J378" s="7">
        <f>IF(H378&lt;=231,
H378*0.005,
IF(H378&lt;=693,
231*0.005+(H378-231)*0.02,
231*0.005+462*0.02+(H378-693)*0.045
))</f>
        <v>29.333159999999996</v>
      </c>
      <c r="K378" s="7">
        <f>H378*0.04</f>
        <v>44.553919999999998</v>
      </c>
      <c r="L378" s="7">
        <f>I378+J378+K378</f>
        <v>289.42627999999996</v>
      </c>
      <c r="M378" s="7">
        <f>H378-L378</f>
        <v>824.42172000000005</v>
      </c>
    </row>
    <row r="379" spans="1:13" x14ac:dyDescent="0.3">
      <c r="A379" t="s">
        <v>310</v>
      </c>
      <c r="B379" t="s">
        <v>125</v>
      </c>
      <c r="C379" s="7">
        <v>24.3</v>
      </c>
      <c r="D379" s="8">
        <v>43.9</v>
      </c>
      <c r="E379" s="8">
        <f>MAX(0, D379-40)</f>
        <v>3.8999999999999986</v>
      </c>
      <c r="F379" s="7">
        <f>MIN(D379,40)*C379</f>
        <v>972</v>
      </c>
      <c r="G379" s="9">
        <f>E379 * C379 * 1.5</f>
        <v>142.15499999999994</v>
      </c>
      <c r="H379" s="7">
        <f>F379+G379</f>
        <v>1114.155</v>
      </c>
      <c r="I379" s="7">
        <f>MAX(0,
IF(H379&lt;=800,
H379*0.2,
800*0.2+(H379-800)*0.4
)-70
)</f>
        <v>215.66199999999998</v>
      </c>
      <c r="J379" s="7">
        <f>IF(H379&lt;=231,
H379*0.005,
IF(H379&lt;=693,
231*0.005+(H379-231)*0.02,
231*0.005+462*0.02+(H379-693)*0.045
))</f>
        <v>29.346974999999997</v>
      </c>
      <c r="K379" s="7">
        <f>H379*0.04</f>
        <v>44.566200000000002</v>
      </c>
      <c r="L379" s="7">
        <f>I379+J379+K379</f>
        <v>289.57517499999994</v>
      </c>
      <c r="M379" s="7">
        <f>H379-L379</f>
        <v>824.57982500000003</v>
      </c>
    </row>
    <row r="380" spans="1:13" x14ac:dyDescent="0.3">
      <c r="A380" t="s">
        <v>53</v>
      </c>
      <c r="B380" t="s">
        <v>99</v>
      </c>
      <c r="C380" s="7">
        <v>28.67</v>
      </c>
      <c r="D380" s="8">
        <v>39</v>
      </c>
      <c r="E380" s="8">
        <f>MAX(0, D380-40)</f>
        <v>0</v>
      </c>
      <c r="F380" s="7">
        <f>MIN(D380,40)*C380</f>
        <v>1118.1300000000001</v>
      </c>
      <c r="G380" s="9">
        <f>E380 * C380 * 1.5</f>
        <v>0</v>
      </c>
      <c r="H380" s="7">
        <f>F380+G380</f>
        <v>1118.1300000000001</v>
      </c>
      <c r="I380" s="7">
        <f>MAX(0,
IF(H380&lt;=800,
H380*0.2,
800*0.2+(H380-800)*0.4
)-70
)</f>
        <v>217.25200000000007</v>
      </c>
      <c r="J380" s="7">
        <f>IF(H380&lt;=231,
H380*0.005,
IF(H380&lt;=693,
231*0.005+(H380-231)*0.02,
231*0.005+462*0.02+(H380-693)*0.045
))</f>
        <v>29.525850000000005</v>
      </c>
      <c r="K380" s="7">
        <f>H380*0.04</f>
        <v>44.725200000000008</v>
      </c>
      <c r="L380" s="7">
        <f>I380+J380+K380</f>
        <v>291.50305000000009</v>
      </c>
      <c r="M380" s="7">
        <f>H380-L380</f>
        <v>826.62695000000008</v>
      </c>
    </row>
    <row r="381" spans="1:13" x14ac:dyDescent="0.3">
      <c r="A381" t="s">
        <v>149</v>
      </c>
      <c r="B381" t="s">
        <v>7</v>
      </c>
      <c r="C381" s="7">
        <v>28.83</v>
      </c>
      <c r="D381" s="8">
        <v>38.799999999999997</v>
      </c>
      <c r="E381" s="8">
        <f>MAX(0, D381-40)</f>
        <v>0</v>
      </c>
      <c r="F381" s="7">
        <f>MIN(D381,40)*C381</f>
        <v>1118.6039999999998</v>
      </c>
      <c r="G381" s="9">
        <f>E381 * C381 * 1.5</f>
        <v>0</v>
      </c>
      <c r="H381" s="7">
        <f>F381+G381</f>
        <v>1118.6039999999998</v>
      </c>
      <c r="I381" s="7">
        <f>MAX(0,
IF(H381&lt;=800,
H381*0.2,
800*0.2+(H381-800)*0.4
)-70
)</f>
        <v>217.44159999999994</v>
      </c>
      <c r="J381" s="7">
        <f>IF(H381&lt;=231,
H381*0.005,
IF(H381&lt;=693,
231*0.005+(H381-231)*0.02,
231*0.005+462*0.02+(H381-693)*0.045
))</f>
        <v>29.54717999999999</v>
      </c>
      <c r="K381" s="7">
        <f>H381*0.04</f>
        <v>44.744159999999994</v>
      </c>
      <c r="L381" s="7">
        <f>I381+J381+K381</f>
        <v>291.73293999999993</v>
      </c>
      <c r="M381" s="7">
        <f>H381-L381</f>
        <v>826.87105999999994</v>
      </c>
    </row>
    <row r="382" spans="1:13" x14ac:dyDescent="0.3">
      <c r="A382" t="s">
        <v>320</v>
      </c>
      <c r="B382" t="s">
        <v>57</v>
      </c>
      <c r="C382" s="7">
        <v>25.46</v>
      </c>
      <c r="D382" s="8">
        <v>42.7</v>
      </c>
      <c r="E382" s="8">
        <f>MAX(0, D382-40)</f>
        <v>2.7000000000000028</v>
      </c>
      <c r="F382" s="7">
        <f>MIN(D382,40)*C382</f>
        <v>1018.4000000000001</v>
      </c>
      <c r="G382" s="9">
        <f>E382 * C382 * 1.5</f>
        <v>103.11300000000011</v>
      </c>
      <c r="H382" s="7">
        <f>F382+G382</f>
        <v>1121.5130000000001</v>
      </c>
      <c r="I382" s="7">
        <f>MAX(0,
IF(H382&lt;=800,
H382*0.2,
800*0.2+(H382-800)*0.4
)-70
)</f>
        <v>218.60520000000008</v>
      </c>
      <c r="J382" s="7">
        <f>IF(H382&lt;=231,
H382*0.005,
IF(H382&lt;=693,
231*0.005+(H382-231)*0.02,
231*0.005+462*0.02+(H382-693)*0.045
))</f>
        <v>29.678085000000006</v>
      </c>
      <c r="K382" s="7">
        <f>H382*0.04</f>
        <v>44.860520000000008</v>
      </c>
      <c r="L382" s="7">
        <f>I382+J382+K382</f>
        <v>293.1438050000001</v>
      </c>
      <c r="M382" s="7">
        <f>H382-L382</f>
        <v>828.36919499999999</v>
      </c>
    </row>
    <row r="383" spans="1:13" x14ac:dyDescent="0.3">
      <c r="A383" t="s">
        <v>98</v>
      </c>
      <c r="B383" t="s">
        <v>145</v>
      </c>
      <c r="C383" s="7">
        <v>26.1</v>
      </c>
      <c r="D383" s="8">
        <v>42</v>
      </c>
      <c r="E383" s="8">
        <f>MAX(0, D383-40)</f>
        <v>2</v>
      </c>
      <c r="F383" s="7">
        <f>MIN(D383,40)*C383</f>
        <v>1044</v>
      </c>
      <c r="G383" s="9">
        <f>E383 * C383 * 1.5</f>
        <v>78.300000000000011</v>
      </c>
      <c r="H383" s="7">
        <f>F383+G383</f>
        <v>1122.3</v>
      </c>
      <c r="I383" s="7">
        <f>MAX(0,
IF(H383&lt;=800,
H383*0.2,
800*0.2+(H383-800)*0.4
)-70
)</f>
        <v>218.91999999999996</v>
      </c>
      <c r="J383" s="7">
        <f>IF(H383&lt;=231,
H383*0.005,
IF(H383&lt;=693,
231*0.005+(H383-231)*0.02,
231*0.005+462*0.02+(H383-693)*0.045
))</f>
        <v>29.713499999999996</v>
      </c>
      <c r="K383" s="7">
        <f>H383*0.04</f>
        <v>44.891999999999996</v>
      </c>
      <c r="L383" s="7">
        <f>I383+J383+K383</f>
        <v>293.52549999999997</v>
      </c>
      <c r="M383" s="7">
        <f>H383-L383</f>
        <v>828.77449999999999</v>
      </c>
    </row>
    <row r="384" spans="1:13" x14ac:dyDescent="0.3">
      <c r="A384" t="s">
        <v>214</v>
      </c>
      <c r="B384" t="s">
        <v>55</v>
      </c>
      <c r="C384" s="7">
        <v>25.58</v>
      </c>
      <c r="D384" s="8">
        <v>42.6</v>
      </c>
      <c r="E384" s="8">
        <f>MAX(0, D384-40)</f>
        <v>2.6000000000000014</v>
      </c>
      <c r="F384" s="7">
        <f>MIN(D384,40)*C384</f>
        <v>1023.1999999999999</v>
      </c>
      <c r="G384" s="9">
        <f>E384 * C384 * 1.5</f>
        <v>99.762000000000057</v>
      </c>
      <c r="H384" s="7">
        <f>F384+G384</f>
        <v>1122.962</v>
      </c>
      <c r="I384" s="7">
        <f>MAX(0,
IF(H384&lt;=800,
H384*0.2,
800*0.2+(H384-800)*0.4
)-70
)</f>
        <v>219.1848</v>
      </c>
      <c r="J384" s="7">
        <f>IF(H384&lt;=231,
H384*0.005,
IF(H384&lt;=693,
231*0.005+(H384-231)*0.02,
231*0.005+462*0.02+(H384-693)*0.045
))</f>
        <v>29.743289999999998</v>
      </c>
      <c r="K384" s="7">
        <f>H384*0.04</f>
        <v>44.918480000000002</v>
      </c>
      <c r="L384" s="7">
        <f>I384+J384+K384</f>
        <v>293.84656999999999</v>
      </c>
      <c r="M384" s="7">
        <f>H384-L384</f>
        <v>829.11543000000006</v>
      </c>
    </row>
    <row r="385" spans="1:13" x14ac:dyDescent="0.3">
      <c r="A385" t="s">
        <v>147</v>
      </c>
      <c r="B385" t="s">
        <v>55</v>
      </c>
      <c r="C385" s="7">
        <v>28.4</v>
      </c>
      <c r="D385" s="8">
        <v>39.6</v>
      </c>
      <c r="E385" s="8">
        <f>MAX(0, D385-40)</f>
        <v>0</v>
      </c>
      <c r="F385" s="7">
        <f>MIN(D385,40)*C385</f>
        <v>1124.6399999999999</v>
      </c>
      <c r="G385" s="9">
        <f>E385 * C385 * 1.5</f>
        <v>0</v>
      </c>
      <c r="H385" s="7">
        <f>F385+G385</f>
        <v>1124.6399999999999</v>
      </c>
      <c r="I385" s="7">
        <f>MAX(0,
IF(H385&lt;=800,
H385*0.2,
800*0.2+(H385-800)*0.4
)-70
)</f>
        <v>219.85599999999999</v>
      </c>
      <c r="J385" s="7">
        <f>IF(H385&lt;=231,
H385*0.005,
IF(H385&lt;=693,
231*0.005+(H385-231)*0.02,
231*0.005+462*0.02+(H385-693)*0.045
))</f>
        <v>29.818799999999992</v>
      </c>
      <c r="K385" s="7">
        <f>H385*0.04</f>
        <v>44.985599999999998</v>
      </c>
      <c r="L385" s="7">
        <f>I385+J385+K385</f>
        <v>294.66039999999998</v>
      </c>
      <c r="M385" s="7">
        <f>H385-L385</f>
        <v>829.97959999999989</v>
      </c>
    </row>
    <row r="386" spans="1:13" x14ac:dyDescent="0.3">
      <c r="A386" t="s">
        <v>176</v>
      </c>
      <c r="B386" t="s">
        <v>49</v>
      </c>
      <c r="C386" s="7">
        <v>25.46</v>
      </c>
      <c r="D386" s="8">
        <v>42.8</v>
      </c>
      <c r="E386" s="8">
        <f>MAX(0, D386-40)</f>
        <v>2.7999999999999972</v>
      </c>
      <c r="F386" s="7">
        <f>MIN(D386,40)*C386</f>
        <v>1018.4000000000001</v>
      </c>
      <c r="G386" s="9">
        <f>E386 * C386 * 1.5</f>
        <v>106.93199999999989</v>
      </c>
      <c r="H386" s="7">
        <f>F386+G386</f>
        <v>1125.3319999999999</v>
      </c>
      <c r="I386" s="7">
        <f>MAX(0,
IF(H386&lt;=800,
H386*0.2,
800*0.2+(H386-800)*0.4
)-70
)</f>
        <v>220.13279999999997</v>
      </c>
      <c r="J386" s="7">
        <f>IF(H386&lt;=231,
H386*0.005,
IF(H386&lt;=693,
231*0.005+(H386-231)*0.02,
231*0.005+462*0.02+(H386-693)*0.045
))</f>
        <v>29.849939999999993</v>
      </c>
      <c r="K386" s="7">
        <f>H386*0.04</f>
        <v>45.013279999999995</v>
      </c>
      <c r="L386" s="7">
        <f>I386+J386+K386</f>
        <v>294.99601999999999</v>
      </c>
      <c r="M386" s="7">
        <f>H386-L386</f>
        <v>830.33597999999984</v>
      </c>
    </row>
    <row r="387" spans="1:13" x14ac:dyDescent="0.3">
      <c r="A387" t="s">
        <v>454</v>
      </c>
      <c r="B387" t="s">
        <v>66</v>
      </c>
      <c r="C387" s="7">
        <v>25.36</v>
      </c>
      <c r="D387" s="8">
        <v>43</v>
      </c>
      <c r="E387" s="8">
        <f>MAX(0, D387-40)</f>
        <v>3</v>
      </c>
      <c r="F387" s="7">
        <f>MIN(D387,40)*C387</f>
        <v>1014.4</v>
      </c>
      <c r="G387" s="9">
        <f>E387 * C387 * 1.5</f>
        <v>114.12</v>
      </c>
      <c r="H387" s="7">
        <f>F387+G387</f>
        <v>1128.52</v>
      </c>
      <c r="I387" s="7">
        <f>MAX(0,
IF(H387&lt;=800,
H387*0.2,
800*0.2+(H387-800)*0.4
)-70
)</f>
        <v>221.40800000000002</v>
      </c>
      <c r="J387" s="7">
        <f>IF(H387&lt;=231,
H387*0.005,
IF(H387&lt;=693,
231*0.005+(H387-231)*0.02,
231*0.005+462*0.02+(H387-693)*0.045
))</f>
        <v>29.993399999999998</v>
      </c>
      <c r="K387" s="7">
        <f>H387*0.04</f>
        <v>45.140799999999999</v>
      </c>
      <c r="L387" s="7">
        <f>I387+J387+K387</f>
        <v>296.54220000000004</v>
      </c>
      <c r="M387" s="7">
        <f>H387-L387</f>
        <v>831.97779999999989</v>
      </c>
    </row>
    <row r="388" spans="1:13" x14ac:dyDescent="0.3">
      <c r="A388" t="s">
        <v>31</v>
      </c>
      <c r="B388" t="s">
        <v>32</v>
      </c>
      <c r="C388" s="7">
        <v>29.64</v>
      </c>
      <c r="D388" s="8">
        <v>38.1</v>
      </c>
      <c r="E388" s="8">
        <f>MAX(0, D388-40)</f>
        <v>0</v>
      </c>
      <c r="F388" s="7">
        <f>MIN(D388,40)*C388</f>
        <v>1129.2840000000001</v>
      </c>
      <c r="G388" s="9">
        <f>E388 * C388 * 1.5</f>
        <v>0</v>
      </c>
      <c r="H388" s="7">
        <f>F388+G388</f>
        <v>1129.2840000000001</v>
      </c>
      <c r="I388" s="7">
        <f>MAX(0,
IF(H388&lt;=800,
H388*0.2,
800*0.2+(H388-800)*0.4
)-70
)</f>
        <v>221.71360000000004</v>
      </c>
      <c r="J388" s="7">
        <f>IF(H388&lt;=231,
H388*0.005,
IF(H388&lt;=693,
231*0.005+(H388-231)*0.02,
231*0.005+462*0.02+(H388-693)*0.045
))</f>
        <v>30.027780000000003</v>
      </c>
      <c r="K388" s="7">
        <f>H388*0.04</f>
        <v>45.171360000000007</v>
      </c>
      <c r="L388" s="7">
        <f>I388+J388+K388</f>
        <v>296.91274000000004</v>
      </c>
      <c r="M388" s="7">
        <f>H388-L388</f>
        <v>832.37126000000012</v>
      </c>
    </row>
    <row r="389" spans="1:13" x14ac:dyDescent="0.3">
      <c r="A389" t="s">
        <v>440</v>
      </c>
      <c r="B389" t="s">
        <v>5</v>
      </c>
      <c r="C389" s="7">
        <v>28.66</v>
      </c>
      <c r="D389" s="8">
        <v>39.5</v>
      </c>
      <c r="E389" s="8">
        <f>MAX(0, D389-40)</f>
        <v>0</v>
      </c>
      <c r="F389" s="7">
        <f>MIN(D389,40)*C389</f>
        <v>1132.07</v>
      </c>
      <c r="G389" s="9">
        <f>E389 * C389 * 1.5</f>
        <v>0</v>
      </c>
      <c r="H389" s="7">
        <f>F389+G389</f>
        <v>1132.07</v>
      </c>
      <c r="I389" s="7">
        <f>MAX(0,
IF(H389&lt;=800,
H389*0.2,
800*0.2+(H389-800)*0.4
)-70
)</f>
        <v>222.82799999999997</v>
      </c>
      <c r="J389" s="7">
        <f>IF(H389&lt;=231,
H389*0.005,
IF(H389&lt;=693,
231*0.005+(H389-231)*0.02,
231*0.005+462*0.02+(H389-693)*0.045
))</f>
        <v>30.153149999999997</v>
      </c>
      <c r="K389" s="7">
        <f>H389*0.04</f>
        <v>45.282800000000002</v>
      </c>
      <c r="L389" s="7">
        <f>I389+J389+K389</f>
        <v>298.26394999999997</v>
      </c>
      <c r="M389" s="7">
        <f>H389-L389</f>
        <v>833.80604999999991</v>
      </c>
    </row>
    <row r="390" spans="1:13" x14ac:dyDescent="0.3">
      <c r="A390" t="s">
        <v>253</v>
      </c>
      <c r="B390" t="s">
        <v>55</v>
      </c>
      <c r="C390" s="7">
        <v>27.23</v>
      </c>
      <c r="D390" s="8">
        <v>41.1</v>
      </c>
      <c r="E390" s="8">
        <f>MAX(0, D390-40)</f>
        <v>1.1000000000000014</v>
      </c>
      <c r="F390" s="7">
        <f>MIN(D390,40)*C390</f>
        <v>1089.2</v>
      </c>
      <c r="G390" s="9">
        <f>E390 * C390 * 1.5</f>
        <v>44.929500000000061</v>
      </c>
      <c r="H390" s="7">
        <f>F390+G390</f>
        <v>1134.1295</v>
      </c>
      <c r="I390" s="7">
        <f>MAX(0,
IF(H390&lt;=800,
H390*0.2,
800*0.2+(H390-800)*0.4
)-70
)</f>
        <v>223.65179999999998</v>
      </c>
      <c r="J390" s="7">
        <f>IF(H390&lt;=231,
H390*0.005,
IF(H390&lt;=693,
231*0.005+(H390-231)*0.02,
231*0.005+462*0.02+(H390-693)*0.045
))</f>
        <v>30.245827500000001</v>
      </c>
      <c r="K390" s="7">
        <f>H390*0.04</f>
        <v>45.365180000000002</v>
      </c>
      <c r="L390" s="7">
        <f>I390+J390+K390</f>
        <v>299.26280749999995</v>
      </c>
      <c r="M390" s="7">
        <f>H390-L390</f>
        <v>834.8666925</v>
      </c>
    </row>
    <row r="391" spans="1:13" x14ac:dyDescent="0.3">
      <c r="A391" t="s">
        <v>395</v>
      </c>
      <c r="B391" t="s">
        <v>7</v>
      </c>
      <c r="C391" s="7">
        <v>29.03</v>
      </c>
      <c r="D391" s="8">
        <v>39.200000000000003</v>
      </c>
      <c r="E391" s="8">
        <f>MAX(0, D391-40)</f>
        <v>0</v>
      </c>
      <c r="F391" s="7">
        <f>MIN(D391,40)*C391</f>
        <v>1137.9760000000001</v>
      </c>
      <c r="G391" s="9">
        <f>E391 * C391 * 1.5</f>
        <v>0</v>
      </c>
      <c r="H391" s="7">
        <f>F391+G391</f>
        <v>1137.9760000000001</v>
      </c>
      <c r="I391" s="7">
        <f>MAX(0,
IF(H391&lt;=800,
H391*0.2,
800*0.2+(H391-800)*0.4
)-70
)</f>
        <v>225.19040000000007</v>
      </c>
      <c r="J391" s="7">
        <f>IF(H391&lt;=231,
H391*0.005,
IF(H391&lt;=693,
231*0.005+(H391-231)*0.02,
231*0.005+462*0.02+(H391-693)*0.045
))</f>
        <v>30.418920000000004</v>
      </c>
      <c r="K391" s="7">
        <f>H391*0.04</f>
        <v>45.519040000000004</v>
      </c>
      <c r="L391" s="7">
        <f>I391+J391+K391</f>
        <v>301.1283600000001</v>
      </c>
      <c r="M391" s="7">
        <f>H391-L391</f>
        <v>836.84763999999996</v>
      </c>
    </row>
    <row r="392" spans="1:13" x14ac:dyDescent="0.3">
      <c r="A392" t="s">
        <v>326</v>
      </c>
      <c r="B392" t="s">
        <v>13</v>
      </c>
      <c r="C392" s="7">
        <v>24.93</v>
      </c>
      <c r="D392" s="8">
        <v>43.8</v>
      </c>
      <c r="E392" s="8">
        <f>MAX(0, D392-40)</f>
        <v>3.7999999999999972</v>
      </c>
      <c r="F392" s="7">
        <f>MIN(D392,40)*C392</f>
        <v>997.2</v>
      </c>
      <c r="G392" s="9">
        <f>E392 * C392 * 1.5</f>
        <v>142.10099999999989</v>
      </c>
      <c r="H392" s="7">
        <f>F392+G392</f>
        <v>1139.3009999999999</v>
      </c>
      <c r="I392" s="7">
        <f>MAX(0,
IF(H392&lt;=800,
H392*0.2,
800*0.2+(H392-800)*0.4
)-70
)</f>
        <v>225.72039999999998</v>
      </c>
      <c r="J392" s="7">
        <f>IF(H392&lt;=231,
H392*0.005,
IF(H392&lt;=693,
231*0.005+(H392-231)*0.02,
231*0.005+462*0.02+(H392-693)*0.045
))</f>
        <v>30.478544999999997</v>
      </c>
      <c r="K392" s="7">
        <f>H392*0.04</f>
        <v>45.572040000000001</v>
      </c>
      <c r="L392" s="7">
        <f>I392+J392+K392</f>
        <v>301.770985</v>
      </c>
      <c r="M392" s="7">
        <f>H392-L392</f>
        <v>837.53001499999993</v>
      </c>
    </row>
    <row r="393" spans="1:13" x14ac:dyDescent="0.3">
      <c r="A393" t="s">
        <v>433</v>
      </c>
      <c r="B393" t="s">
        <v>145</v>
      </c>
      <c r="C393" s="7">
        <v>27.78</v>
      </c>
      <c r="D393" s="8">
        <v>40.700000000000003</v>
      </c>
      <c r="E393" s="8">
        <f>MAX(0, D393-40)</f>
        <v>0.70000000000000284</v>
      </c>
      <c r="F393" s="7">
        <f>MIN(D393,40)*C393</f>
        <v>1111.2</v>
      </c>
      <c r="G393" s="9">
        <f>E393 * C393 * 1.5</f>
        <v>29.169000000000118</v>
      </c>
      <c r="H393" s="7">
        <f>F393+G393</f>
        <v>1140.3690000000001</v>
      </c>
      <c r="I393" s="7">
        <f>MAX(0,
IF(H393&lt;=800,
H393*0.2,
800*0.2+(H393-800)*0.4
)-70
)</f>
        <v>226.14760000000007</v>
      </c>
      <c r="J393" s="7">
        <f>IF(H393&lt;=231,
H393*0.005,
IF(H393&lt;=693,
231*0.005+(H393-231)*0.02,
231*0.005+462*0.02+(H393-693)*0.045
))</f>
        <v>30.526605000000004</v>
      </c>
      <c r="K393" s="7">
        <f>H393*0.04</f>
        <v>45.614760000000004</v>
      </c>
      <c r="L393" s="7">
        <f>I393+J393+K393</f>
        <v>302.28896500000008</v>
      </c>
      <c r="M393" s="7">
        <f>H393-L393</f>
        <v>838.08003500000007</v>
      </c>
    </row>
    <row r="394" spans="1:13" x14ac:dyDescent="0.3">
      <c r="A394" t="s">
        <v>103</v>
      </c>
      <c r="B394" t="s">
        <v>21</v>
      </c>
      <c r="C394" s="7">
        <v>30.89</v>
      </c>
      <c r="D394" s="8">
        <v>37</v>
      </c>
      <c r="E394" s="8">
        <f>MAX(0, D394-40)</f>
        <v>0</v>
      </c>
      <c r="F394" s="7">
        <f>MIN(D394,40)*C394</f>
        <v>1142.93</v>
      </c>
      <c r="G394" s="9">
        <f>E394 * C394 * 1.5</f>
        <v>0</v>
      </c>
      <c r="H394" s="7">
        <f>F394+G394</f>
        <v>1142.93</v>
      </c>
      <c r="I394" s="7">
        <f>MAX(0,
IF(H394&lt;=800,
H394*0.2,
800*0.2+(H394-800)*0.4
)-70
)</f>
        <v>227.17200000000003</v>
      </c>
      <c r="J394" s="7">
        <f>IF(H394&lt;=231,
H394*0.005,
IF(H394&lt;=693,
231*0.005+(H394-231)*0.02,
231*0.005+462*0.02+(H394-693)*0.045
))</f>
        <v>30.641850000000002</v>
      </c>
      <c r="K394" s="7">
        <f>H394*0.04</f>
        <v>45.717200000000005</v>
      </c>
      <c r="L394" s="7">
        <f>I394+J394+K394</f>
        <v>303.53104999999999</v>
      </c>
      <c r="M394" s="7">
        <f>H394-L394</f>
        <v>839.39895000000001</v>
      </c>
    </row>
    <row r="395" spans="1:13" x14ac:dyDescent="0.3">
      <c r="A395" t="s">
        <v>265</v>
      </c>
      <c r="B395" t="s">
        <v>13</v>
      </c>
      <c r="C395" s="7">
        <v>26.71</v>
      </c>
      <c r="D395" s="8">
        <v>41.9</v>
      </c>
      <c r="E395" s="8">
        <f>MAX(0, D395-40)</f>
        <v>1.8999999999999986</v>
      </c>
      <c r="F395" s="7">
        <f>MIN(D395,40)*C395</f>
        <v>1068.4000000000001</v>
      </c>
      <c r="G395" s="9">
        <f>E395 * C395 * 1.5</f>
        <v>76.12349999999995</v>
      </c>
      <c r="H395" s="7">
        <f>F395+G395</f>
        <v>1144.5235</v>
      </c>
      <c r="I395" s="7">
        <f>MAX(0,
IF(H395&lt;=800,
H395*0.2,
800*0.2+(H395-800)*0.4
)-70
)</f>
        <v>227.80939999999998</v>
      </c>
      <c r="J395" s="7">
        <f>IF(H395&lt;=231,
H395*0.005,
IF(H395&lt;=693,
231*0.005+(H395-231)*0.02,
231*0.005+462*0.02+(H395-693)*0.045
))</f>
        <v>30.7135575</v>
      </c>
      <c r="K395" s="7">
        <f>H395*0.04</f>
        <v>45.780940000000001</v>
      </c>
      <c r="L395" s="7">
        <f>I395+J395+K395</f>
        <v>304.30389749999995</v>
      </c>
      <c r="M395" s="7">
        <f>H395-L395</f>
        <v>840.21960250000006</v>
      </c>
    </row>
    <row r="396" spans="1:13" x14ac:dyDescent="0.3">
      <c r="A396" t="s">
        <v>218</v>
      </c>
      <c r="B396" t="s">
        <v>23</v>
      </c>
      <c r="C396" s="7">
        <v>24.81</v>
      </c>
      <c r="D396" s="8">
        <v>44.1</v>
      </c>
      <c r="E396" s="8">
        <f>MAX(0, D396-40)</f>
        <v>4.1000000000000014</v>
      </c>
      <c r="F396" s="7">
        <f>MIN(D396,40)*C396</f>
        <v>992.4</v>
      </c>
      <c r="G396" s="9">
        <f>E396 * C396 * 1.5</f>
        <v>152.58150000000006</v>
      </c>
      <c r="H396" s="7">
        <f>F396+G396</f>
        <v>1144.9815000000001</v>
      </c>
      <c r="I396" s="7">
        <f>MAX(0,
IF(H396&lt;=800,
H396*0.2,
800*0.2+(H396-800)*0.4
)-70
)</f>
        <v>227.99260000000004</v>
      </c>
      <c r="J396" s="7">
        <f>IF(H396&lt;=231,
H396*0.005,
IF(H396&lt;=693,
231*0.005+(H396-231)*0.02,
231*0.005+462*0.02+(H396-693)*0.045
))</f>
        <v>30.734167500000002</v>
      </c>
      <c r="K396" s="7">
        <f>H396*0.04</f>
        <v>45.799260000000004</v>
      </c>
      <c r="L396" s="7">
        <f>I396+J396+K396</f>
        <v>304.52602750000005</v>
      </c>
      <c r="M396" s="7">
        <f>H396-L396</f>
        <v>840.45547250000004</v>
      </c>
    </row>
    <row r="397" spans="1:13" x14ac:dyDescent="0.3">
      <c r="A397" t="s">
        <v>414</v>
      </c>
      <c r="B397" t="s">
        <v>13</v>
      </c>
      <c r="C397" s="7">
        <v>28.13</v>
      </c>
      <c r="D397" s="8">
        <v>40.6</v>
      </c>
      <c r="E397" s="8">
        <f>MAX(0, D397-40)</f>
        <v>0.60000000000000142</v>
      </c>
      <c r="F397" s="7">
        <f>MIN(D397,40)*C397</f>
        <v>1125.2</v>
      </c>
      <c r="G397" s="9">
        <f>E397 * C397 * 1.5</f>
        <v>25.317000000000057</v>
      </c>
      <c r="H397" s="7">
        <f>F397+G397</f>
        <v>1150.5170000000001</v>
      </c>
      <c r="I397" s="7">
        <f>MAX(0,
IF(H397&lt;=800,
H397*0.2,
800*0.2+(H397-800)*0.4
)-70
)</f>
        <v>230.20680000000004</v>
      </c>
      <c r="J397" s="7">
        <f>IF(H397&lt;=231,
H397*0.005,
IF(H397&lt;=693,
231*0.005+(H397-231)*0.02,
231*0.005+462*0.02+(H397-693)*0.045
))</f>
        <v>30.983265000000003</v>
      </c>
      <c r="K397" s="7">
        <f>H397*0.04</f>
        <v>46.020680000000006</v>
      </c>
      <c r="L397" s="7">
        <f>I397+J397+K397</f>
        <v>307.21074500000009</v>
      </c>
      <c r="M397" s="7">
        <f>H397-L397</f>
        <v>843.30625499999996</v>
      </c>
    </row>
    <row r="398" spans="1:13" x14ac:dyDescent="0.3">
      <c r="A398" t="s">
        <v>221</v>
      </c>
      <c r="B398" t="s">
        <v>11</v>
      </c>
      <c r="C398" s="7">
        <v>25.88</v>
      </c>
      <c r="D398" s="8">
        <v>43</v>
      </c>
      <c r="E398" s="8">
        <f>MAX(0, D398-40)</f>
        <v>3</v>
      </c>
      <c r="F398" s="7">
        <f>MIN(D398,40)*C398</f>
        <v>1035.2</v>
      </c>
      <c r="G398" s="9">
        <f>E398 * C398 * 1.5</f>
        <v>116.46000000000001</v>
      </c>
      <c r="H398" s="7">
        <f>F398+G398</f>
        <v>1151.6600000000001</v>
      </c>
      <c r="I398" s="7">
        <f>MAX(0,
IF(H398&lt;=800,
H398*0.2,
800*0.2+(H398-800)*0.4
)-70
)</f>
        <v>230.66400000000004</v>
      </c>
      <c r="J398" s="7">
        <f>IF(H398&lt;=231,
H398*0.005,
IF(H398&lt;=693,
231*0.005+(H398-231)*0.02,
231*0.005+462*0.02+(H398-693)*0.045
))</f>
        <v>31.034700000000001</v>
      </c>
      <c r="K398" s="7">
        <f>H398*0.04</f>
        <v>46.066400000000002</v>
      </c>
      <c r="L398" s="7">
        <f>I398+J398+K398</f>
        <v>307.76510000000002</v>
      </c>
      <c r="M398" s="7">
        <f>H398-L398</f>
        <v>843.89490000000001</v>
      </c>
    </row>
    <row r="399" spans="1:13" x14ac:dyDescent="0.3">
      <c r="A399" t="s">
        <v>244</v>
      </c>
      <c r="B399" t="s">
        <v>145</v>
      </c>
      <c r="C399" s="7">
        <v>28.27</v>
      </c>
      <c r="D399" s="8">
        <v>40.5</v>
      </c>
      <c r="E399" s="8">
        <f>MAX(0, D399-40)</f>
        <v>0.5</v>
      </c>
      <c r="F399" s="7">
        <f>MIN(D399,40)*C399</f>
        <v>1130.8</v>
      </c>
      <c r="G399" s="9">
        <f>E399 * C399 * 1.5</f>
        <v>21.202500000000001</v>
      </c>
      <c r="H399" s="7">
        <f>F399+G399</f>
        <v>1152.0025000000001</v>
      </c>
      <c r="I399" s="7">
        <f>MAX(0,
IF(H399&lt;=800,
H399*0.2,
800*0.2+(H399-800)*0.4
)-70
)</f>
        <v>230.80100000000004</v>
      </c>
      <c r="J399" s="7">
        <f>IF(H399&lt;=231,
H399*0.005,
IF(H399&lt;=693,
231*0.005+(H399-231)*0.02,
231*0.005+462*0.02+(H399-693)*0.045
))</f>
        <v>31.050112500000001</v>
      </c>
      <c r="K399" s="7">
        <f>H399*0.04</f>
        <v>46.080100000000002</v>
      </c>
      <c r="L399" s="7">
        <f>I399+J399+K399</f>
        <v>307.93121250000007</v>
      </c>
      <c r="M399" s="7">
        <f>H399-L399</f>
        <v>844.07128749999993</v>
      </c>
    </row>
    <row r="400" spans="1:13" x14ac:dyDescent="0.3">
      <c r="A400" t="s">
        <v>356</v>
      </c>
      <c r="B400" t="s">
        <v>23</v>
      </c>
      <c r="C400" s="7">
        <v>29.02</v>
      </c>
      <c r="D400" s="8">
        <v>39.700000000000003</v>
      </c>
      <c r="E400" s="8">
        <f>MAX(0, D400-40)</f>
        <v>0</v>
      </c>
      <c r="F400" s="7">
        <f>MIN(D400,40)*C400</f>
        <v>1152.0940000000001</v>
      </c>
      <c r="G400" s="9">
        <f>E400 * C400 * 1.5</f>
        <v>0</v>
      </c>
      <c r="H400" s="7">
        <f>F400+G400</f>
        <v>1152.0940000000001</v>
      </c>
      <c r="I400" s="7">
        <f>MAX(0,
IF(H400&lt;=800,
H400*0.2,
800*0.2+(H400-800)*0.4
)-70
)</f>
        <v>230.83760000000007</v>
      </c>
      <c r="J400" s="7">
        <f>IF(H400&lt;=231,
H400*0.005,
IF(H400&lt;=693,
231*0.005+(H400-231)*0.02,
231*0.005+462*0.02+(H400-693)*0.045
))</f>
        <v>31.05423</v>
      </c>
      <c r="K400" s="7">
        <f>H400*0.04</f>
        <v>46.083760000000005</v>
      </c>
      <c r="L400" s="7">
        <f>I400+J400+K400</f>
        <v>307.97559000000007</v>
      </c>
      <c r="M400" s="7">
        <f>H400-L400</f>
        <v>844.11841000000004</v>
      </c>
    </row>
    <row r="401" spans="1:13" x14ac:dyDescent="0.3">
      <c r="A401" t="s">
        <v>191</v>
      </c>
      <c r="B401" t="s">
        <v>145</v>
      </c>
      <c r="C401" s="7">
        <v>28.9</v>
      </c>
      <c r="D401" s="8">
        <v>39.9</v>
      </c>
      <c r="E401" s="8">
        <f>MAX(0, D401-40)</f>
        <v>0</v>
      </c>
      <c r="F401" s="7">
        <f>MIN(D401,40)*C401</f>
        <v>1153.1099999999999</v>
      </c>
      <c r="G401" s="9">
        <f>E401 * C401 * 1.5</f>
        <v>0</v>
      </c>
      <c r="H401" s="7">
        <f>F401+G401</f>
        <v>1153.1099999999999</v>
      </c>
      <c r="I401" s="7">
        <f>MAX(0,
IF(H401&lt;=800,
H401*0.2,
800*0.2+(H401-800)*0.4
)-70
)</f>
        <v>231.24399999999997</v>
      </c>
      <c r="J401" s="7">
        <f>IF(H401&lt;=231,
H401*0.005,
IF(H401&lt;=693,
231*0.005+(H401-231)*0.02,
231*0.005+462*0.02+(H401-693)*0.045
))</f>
        <v>31.099949999999993</v>
      </c>
      <c r="K401" s="7">
        <f>H401*0.04</f>
        <v>46.124399999999994</v>
      </c>
      <c r="L401" s="7">
        <f>I401+J401+K401</f>
        <v>308.46834999999993</v>
      </c>
      <c r="M401" s="7">
        <f>H401-L401</f>
        <v>844.64165000000003</v>
      </c>
    </row>
    <row r="402" spans="1:13" x14ac:dyDescent="0.3">
      <c r="A402" t="s">
        <v>128</v>
      </c>
      <c r="B402" t="s">
        <v>57</v>
      </c>
      <c r="C402" s="7">
        <v>27.82</v>
      </c>
      <c r="D402" s="8">
        <v>41</v>
      </c>
      <c r="E402" s="8">
        <f>MAX(0, D402-40)</f>
        <v>1</v>
      </c>
      <c r="F402" s="7">
        <f>MIN(D402,40)*C402</f>
        <v>1112.8</v>
      </c>
      <c r="G402" s="9">
        <f>E402 * C402 * 1.5</f>
        <v>41.730000000000004</v>
      </c>
      <c r="H402" s="7">
        <f>F402+G402</f>
        <v>1154.53</v>
      </c>
      <c r="I402" s="7">
        <f>MAX(0,
IF(H402&lt;=800,
H402*0.2,
800*0.2+(H402-800)*0.4
)-70
)</f>
        <v>231.81200000000001</v>
      </c>
      <c r="J402" s="7">
        <f>IF(H402&lt;=231,
H402*0.005,
IF(H402&lt;=693,
231*0.005+(H402-231)*0.02,
231*0.005+462*0.02+(H402-693)*0.045
))</f>
        <v>31.163849999999996</v>
      </c>
      <c r="K402" s="7">
        <f>H402*0.04</f>
        <v>46.181199999999997</v>
      </c>
      <c r="L402" s="7">
        <f>I402+J402+K402</f>
        <v>309.15705000000003</v>
      </c>
      <c r="M402" s="7">
        <f>H402-L402</f>
        <v>845.37294999999995</v>
      </c>
    </row>
    <row r="403" spans="1:13" x14ac:dyDescent="0.3">
      <c r="A403" t="s">
        <v>363</v>
      </c>
      <c r="B403" t="s">
        <v>29</v>
      </c>
      <c r="C403" s="7">
        <v>24.39</v>
      </c>
      <c r="D403" s="8">
        <v>44.9</v>
      </c>
      <c r="E403" s="8">
        <f>MAX(0, D403-40)</f>
        <v>4.8999999999999986</v>
      </c>
      <c r="F403" s="7">
        <f>MIN(D403,40)*C403</f>
        <v>975.6</v>
      </c>
      <c r="G403" s="9">
        <f>E403 * C403 * 1.5</f>
        <v>179.26649999999995</v>
      </c>
      <c r="H403" s="7">
        <f>F403+G403</f>
        <v>1154.8665000000001</v>
      </c>
      <c r="I403" s="7">
        <f>MAX(0,
IF(H403&lt;=800,
H403*0.2,
800*0.2+(H403-800)*0.4
)-70
)</f>
        <v>231.94660000000005</v>
      </c>
      <c r="J403" s="7">
        <f>IF(H403&lt;=231,
H403*0.005,
IF(H403&lt;=693,
231*0.005+(H403-231)*0.02,
231*0.005+462*0.02+(H403-693)*0.045
))</f>
        <v>31.178992500000003</v>
      </c>
      <c r="K403" s="7">
        <f>H403*0.04</f>
        <v>46.194660000000006</v>
      </c>
      <c r="L403" s="7">
        <f>I403+J403+K403</f>
        <v>309.32025250000004</v>
      </c>
      <c r="M403" s="7">
        <f>H403-L403</f>
        <v>845.54624750000005</v>
      </c>
    </row>
    <row r="404" spans="1:13" x14ac:dyDescent="0.3">
      <c r="A404" t="s">
        <v>132</v>
      </c>
      <c r="B404" t="s">
        <v>11</v>
      </c>
      <c r="C404" s="7">
        <v>29.92</v>
      </c>
      <c r="D404" s="8">
        <v>38.6</v>
      </c>
      <c r="E404" s="8">
        <f>MAX(0, D404-40)</f>
        <v>0</v>
      </c>
      <c r="F404" s="7">
        <f>MIN(D404,40)*C404</f>
        <v>1154.912</v>
      </c>
      <c r="G404" s="9">
        <f>E404 * C404 * 1.5</f>
        <v>0</v>
      </c>
      <c r="H404" s="7">
        <f>F404+G404</f>
        <v>1154.912</v>
      </c>
      <c r="I404" s="7">
        <f>MAX(0,
IF(H404&lt;=800,
H404*0.2,
800*0.2+(H404-800)*0.4
)-70
)</f>
        <v>231.96480000000003</v>
      </c>
      <c r="J404" s="7">
        <f>IF(H404&lt;=231,
H404*0.005,
IF(H404&lt;=693,
231*0.005+(H404-231)*0.02,
231*0.005+462*0.02+(H404-693)*0.045
))</f>
        <v>31.181039999999999</v>
      </c>
      <c r="K404" s="7">
        <f>H404*0.04</f>
        <v>46.196480000000001</v>
      </c>
      <c r="L404" s="7">
        <f>I404+J404+K404</f>
        <v>309.34232000000003</v>
      </c>
      <c r="M404" s="7">
        <f>H404-L404</f>
        <v>845.56968000000006</v>
      </c>
    </row>
    <row r="405" spans="1:13" x14ac:dyDescent="0.3">
      <c r="A405" t="s">
        <v>461</v>
      </c>
      <c r="B405" t="s">
        <v>73</v>
      </c>
      <c r="C405" s="7">
        <v>29.28</v>
      </c>
      <c r="D405" s="8">
        <v>39.799999999999997</v>
      </c>
      <c r="E405" s="8">
        <f>MAX(0, D405-40)</f>
        <v>0</v>
      </c>
      <c r="F405" s="7">
        <f>MIN(D405,40)*C405</f>
        <v>1165.3440000000001</v>
      </c>
      <c r="G405" s="9">
        <f>E405 * C405 * 1.5</f>
        <v>0</v>
      </c>
      <c r="H405" s="7">
        <f>F405+G405</f>
        <v>1165.3440000000001</v>
      </c>
      <c r="I405" s="7">
        <f>MAX(0,
IF(H405&lt;=800,
H405*0.2,
800*0.2+(H405-800)*0.4
)-70
)</f>
        <v>236.13760000000002</v>
      </c>
      <c r="J405" s="7">
        <f>IF(H405&lt;=231,
H405*0.005,
IF(H405&lt;=693,
231*0.005+(H405-231)*0.02,
231*0.005+462*0.02+(H405-693)*0.045
))</f>
        <v>31.650480000000002</v>
      </c>
      <c r="K405" s="7">
        <f>H405*0.04</f>
        <v>46.613760000000006</v>
      </c>
      <c r="L405" s="7">
        <f>I405+J405+K405</f>
        <v>314.40184000000005</v>
      </c>
      <c r="M405" s="7">
        <f>H405-L405</f>
        <v>850.94216000000006</v>
      </c>
    </row>
    <row r="406" spans="1:13" x14ac:dyDescent="0.3">
      <c r="A406" t="s">
        <v>71</v>
      </c>
      <c r="B406" t="s">
        <v>59</v>
      </c>
      <c r="C406" s="7">
        <v>32.200000000000003</v>
      </c>
      <c r="D406" s="8">
        <v>36.200000000000003</v>
      </c>
      <c r="E406" s="8">
        <f>MAX(0, D406-40)</f>
        <v>0</v>
      </c>
      <c r="F406" s="7">
        <f>MIN(D406,40)*C406</f>
        <v>1165.6400000000001</v>
      </c>
      <c r="G406" s="9">
        <f>E406 * C406 * 1.5</f>
        <v>0</v>
      </c>
      <c r="H406" s="7">
        <f>F406+G406</f>
        <v>1165.6400000000001</v>
      </c>
      <c r="I406" s="7">
        <f>MAX(0,
IF(H406&lt;=800,
H406*0.2,
800*0.2+(H406-800)*0.4
)-70
)</f>
        <v>236.25600000000009</v>
      </c>
      <c r="J406" s="7">
        <f>IF(H406&lt;=231,
H406*0.005,
IF(H406&lt;=693,
231*0.005+(H406-231)*0.02,
231*0.005+462*0.02+(H406-693)*0.045
))</f>
        <v>31.663800000000002</v>
      </c>
      <c r="K406" s="7">
        <f>H406*0.04</f>
        <v>46.625600000000006</v>
      </c>
      <c r="L406" s="7">
        <f>I406+J406+K406</f>
        <v>314.54540000000009</v>
      </c>
      <c r="M406" s="7">
        <f>H406-L406</f>
        <v>851.09460000000001</v>
      </c>
    </row>
    <row r="407" spans="1:13" x14ac:dyDescent="0.3">
      <c r="A407" t="s">
        <v>476</v>
      </c>
      <c r="B407" t="s">
        <v>37</v>
      </c>
      <c r="C407" s="7">
        <v>26.72</v>
      </c>
      <c r="D407" s="8">
        <v>42.6</v>
      </c>
      <c r="E407" s="8">
        <f>MAX(0, D407-40)</f>
        <v>2.6000000000000014</v>
      </c>
      <c r="F407" s="7">
        <f>MIN(D407,40)*C407</f>
        <v>1068.8</v>
      </c>
      <c r="G407" s="9">
        <f>E407 * C407 * 1.5</f>
        <v>104.20800000000006</v>
      </c>
      <c r="H407" s="7">
        <f>F407+G407</f>
        <v>1173.008</v>
      </c>
      <c r="I407" s="7">
        <f>MAX(0,
IF(H407&lt;=800,
H407*0.2,
800*0.2+(H407-800)*0.4
)-70
)</f>
        <v>239.20320000000004</v>
      </c>
      <c r="J407" s="7">
        <f>IF(H407&lt;=231,
H407*0.005,
IF(H407&lt;=693,
231*0.005+(H407-231)*0.02,
231*0.005+462*0.02+(H407-693)*0.045
))</f>
        <v>31.995360000000002</v>
      </c>
      <c r="K407" s="7">
        <f>H407*0.04</f>
        <v>46.920320000000004</v>
      </c>
      <c r="L407" s="7">
        <f>I407+J407+K407</f>
        <v>318.11888000000005</v>
      </c>
      <c r="M407" s="7">
        <f>H407-L407</f>
        <v>854.88912000000005</v>
      </c>
    </row>
    <row r="408" spans="1:13" x14ac:dyDescent="0.3">
      <c r="A408" t="s">
        <v>392</v>
      </c>
      <c r="B408" t="s">
        <v>46</v>
      </c>
      <c r="C408" s="7">
        <v>32.97</v>
      </c>
      <c r="D408" s="8">
        <v>35.6</v>
      </c>
      <c r="E408" s="8">
        <f>MAX(0, D408-40)</f>
        <v>0</v>
      </c>
      <c r="F408" s="7">
        <f>MIN(D408,40)*C408</f>
        <v>1173.732</v>
      </c>
      <c r="G408" s="9">
        <f>E408 * C408 * 1.5</f>
        <v>0</v>
      </c>
      <c r="H408" s="7">
        <f>F408+G408</f>
        <v>1173.732</v>
      </c>
      <c r="I408" s="7">
        <f>MAX(0,
IF(H408&lt;=800,
H408*0.2,
800*0.2+(H408-800)*0.4
)-70
)</f>
        <v>239.49279999999999</v>
      </c>
      <c r="J408" s="7">
        <f>IF(H408&lt;=231,
H408*0.005,
IF(H408&lt;=693,
231*0.005+(H408-231)*0.02,
231*0.005+462*0.02+(H408-693)*0.045
))</f>
        <v>32.027940000000001</v>
      </c>
      <c r="K408" s="7">
        <f>H408*0.04</f>
        <v>46.949280000000002</v>
      </c>
      <c r="L408" s="7">
        <f>I408+J408+K408</f>
        <v>318.47001999999998</v>
      </c>
      <c r="M408" s="7">
        <f>H408-L408</f>
        <v>855.26197999999999</v>
      </c>
    </row>
    <row r="409" spans="1:13" x14ac:dyDescent="0.3">
      <c r="A409" t="s">
        <v>353</v>
      </c>
      <c r="B409" t="s">
        <v>37</v>
      </c>
      <c r="C409" s="7">
        <v>30.9</v>
      </c>
      <c r="D409" s="8">
        <v>38</v>
      </c>
      <c r="E409" s="8">
        <f>MAX(0, D409-40)</f>
        <v>0</v>
      </c>
      <c r="F409" s="7">
        <f>MIN(D409,40)*C409</f>
        <v>1174.2</v>
      </c>
      <c r="G409" s="9">
        <f>E409 * C409 * 1.5</f>
        <v>0</v>
      </c>
      <c r="H409" s="7">
        <f>F409+G409</f>
        <v>1174.2</v>
      </c>
      <c r="I409" s="7">
        <f>MAX(0,
IF(H409&lt;=800,
H409*0.2,
800*0.2+(H409-800)*0.4
)-70
)</f>
        <v>239.68000000000006</v>
      </c>
      <c r="J409" s="7">
        <f>IF(H409&lt;=231,
H409*0.005,
IF(H409&lt;=693,
231*0.005+(H409-231)*0.02,
231*0.005+462*0.02+(H409-693)*0.045
))</f>
        <v>32.048999999999999</v>
      </c>
      <c r="K409" s="7">
        <f>H409*0.04</f>
        <v>46.968000000000004</v>
      </c>
      <c r="L409" s="7">
        <f>I409+J409+K409</f>
        <v>318.69700000000006</v>
      </c>
      <c r="M409" s="7">
        <f>H409-L409</f>
        <v>855.50299999999993</v>
      </c>
    </row>
    <row r="410" spans="1:13" x14ac:dyDescent="0.3">
      <c r="A410" t="s">
        <v>195</v>
      </c>
      <c r="B410" t="s">
        <v>29</v>
      </c>
      <c r="C410" s="7">
        <v>27.82</v>
      </c>
      <c r="D410" s="8">
        <v>41.5</v>
      </c>
      <c r="E410" s="8">
        <f>MAX(0, D410-40)</f>
        <v>1.5</v>
      </c>
      <c r="F410" s="7">
        <f>MIN(D410,40)*C410</f>
        <v>1112.8</v>
      </c>
      <c r="G410" s="9">
        <f>E410 * C410 * 1.5</f>
        <v>62.595000000000006</v>
      </c>
      <c r="H410" s="7">
        <f>F410+G410</f>
        <v>1175.395</v>
      </c>
      <c r="I410" s="7">
        <f>MAX(0,
IF(H410&lt;=800,
H410*0.2,
800*0.2+(H410-800)*0.4
)-70
)</f>
        <v>240.15800000000002</v>
      </c>
      <c r="J410" s="7">
        <f>IF(H410&lt;=231,
H410*0.005,
IF(H410&lt;=693,
231*0.005+(H410-231)*0.02,
231*0.005+462*0.02+(H410-693)*0.045
))</f>
        <v>32.102774999999994</v>
      </c>
      <c r="K410" s="7">
        <f>H410*0.04</f>
        <v>47.015799999999999</v>
      </c>
      <c r="L410" s="7">
        <f>I410+J410+K410</f>
        <v>319.27657500000004</v>
      </c>
      <c r="M410" s="7">
        <f>H410-L410</f>
        <v>856.11842499999989</v>
      </c>
    </row>
    <row r="411" spans="1:13" x14ac:dyDescent="0.3">
      <c r="A411" t="s">
        <v>399</v>
      </c>
      <c r="B411" t="s">
        <v>11</v>
      </c>
      <c r="C411" s="7">
        <v>30.3</v>
      </c>
      <c r="D411" s="8">
        <v>38.799999999999997</v>
      </c>
      <c r="E411" s="8">
        <f>MAX(0, D411-40)</f>
        <v>0</v>
      </c>
      <c r="F411" s="7">
        <f>MIN(D411,40)*C411</f>
        <v>1175.6399999999999</v>
      </c>
      <c r="G411" s="9">
        <f>E411 * C411 * 1.5</f>
        <v>0</v>
      </c>
      <c r="H411" s="7">
        <f>F411+G411</f>
        <v>1175.6399999999999</v>
      </c>
      <c r="I411" s="7">
        <f>MAX(0,
IF(H411&lt;=800,
H411*0.2,
800*0.2+(H411-800)*0.4
)-70
)</f>
        <v>240.25599999999997</v>
      </c>
      <c r="J411" s="7">
        <f>IF(H411&lt;=231,
H411*0.005,
IF(H411&lt;=693,
231*0.005+(H411-231)*0.02,
231*0.005+462*0.02+(H411-693)*0.045
))</f>
        <v>32.113799999999998</v>
      </c>
      <c r="K411" s="7">
        <f>H411*0.04</f>
        <v>47.025599999999997</v>
      </c>
      <c r="L411" s="7">
        <f>I411+J411+K411</f>
        <v>319.39539999999994</v>
      </c>
      <c r="M411" s="7">
        <f>H411-L411</f>
        <v>856.24459999999999</v>
      </c>
    </row>
    <row r="412" spans="1:13" x14ac:dyDescent="0.3">
      <c r="A412" t="s">
        <v>8</v>
      </c>
      <c r="B412" t="s">
        <v>9</v>
      </c>
      <c r="C412" s="7">
        <v>28.78</v>
      </c>
      <c r="D412" s="8">
        <v>40.6</v>
      </c>
      <c r="E412" s="8">
        <f>MAX(0, D412-40)</f>
        <v>0.60000000000000142</v>
      </c>
      <c r="F412" s="7">
        <f>MIN(D412,40)*C412</f>
        <v>1151.2</v>
      </c>
      <c r="G412" s="9">
        <f>E412 * C412 * 1.5</f>
        <v>25.902000000000065</v>
      </c>
      <c r="H412" s="7">
        <f>F412+G412</f>
        <v>1177.1020000000001</v>
      </c>
      <c r="I412" s="7">
        <f>MAX(0,
IF(H412&lt;=800,
H412*0.2,
800*0.2+(H412-800)*0.4
)-70
)</f>
        <v>240.84080000000006</v>
      </c>
      <c r="J412" s="7">
        <f>IF(H412&lt;=231,
H412*0.005,
IF(H412&lt;=693,
231*0.005+(H412-231)*0.02,
231*0.005+462*0.02+(H412-693)*0.045
))</f>
        <v>32.179590000000005</v>
      </c>
      <c r="K412" s="7">
        <f>H412*0.04</f>
        <v>47.084080000000007</v>
      </c>
      <c r="L412" s="7">
        <f>I412+J412+K412</f>
        <v>320.10447000000011</v>
      </c>
      <c r="M412" s="7">
        <f>H412-L412</f>
        <v>856.99752999999998</v>
      </c>
    </row>
    <row r="413" spans="1:13" x14ac:dyDescent="0.3">
      <c r="A413" t="s">
        <v>248</v>
      </c>
      <c r="B413" t="s">
        <v>46</v>
      </c>
      <c r="C413" s="7">
        <v>32.479999999999997</v>
      </c>
      <c r="D413" s="8">
        <v>36.299999999999997</v>
      </c>
      <c r="E413" s="8">
        <f>MAX(0, D413-40)</f>
        <v>0</v>
      </c>
      <c r="F413" s="7">
        <f>MIN(D413,40)*C413</f>
        <v>1179.0239999999999</v>
      </c>
      <c r="G413" s="9">
        <f>E413 * C413 * 1.5</f>
        <v>0</v>
      </c>
      <c r="H413" s="7">
        <f>F413+G413</f>
        <v>1179.0239999999999</v>
      </c>
      <c r="I413" s="7">
        <f>MAX(0,
IF(H413&lt;=800,
H413*0.2,
800*0.2+(H413-800)*0.4
)-70
)</f>
        <v>241.6096</v>
      </c>
      <c r="J413" s="7">
        <f>IF(H413&lt;=231,
H413*0.005,
IF(H413&lt;=693,
231*0.005+(H413-231)*0.02,
231*0.005+462*0.02+(H413-693)*0.045
))</f>
        <v>32.266079999999995</v>
      </c>
      <c r="K413" s="7">
        <f>H413*0.04</f>
        <v>47.160959999999996</v>
      </c>
      <c r="L413" s="7">
        <f>I413+J413+K413</f>
        <v>321.03663999999998</v>
      </c>
      <c r="M413" s="7">
        <f>H413-L413</f>
        <v>857.98735999999985</v>
      </c>
    </row>
    <row r="414" spans="1:13" x14ac:dyDescent="0.3">
      <c r="A414" t="s">
        <v>81</v>
      </c>
      <c r="B414" t="s">
        <v>43</v>
      </c>
      <c r="C414" s="7">
        <v>27.72</v>
      </c>
      <c r="D414" s="8">
        <v>41.7</v>
      </c>
      <c r="E414" s="8">
        <f>MAX(0, D414-40)</f>
        <v>1.7000000000000028</v>
      </c>
      <c r="F414" s="7">
        <f>MIN(D414,40)*C414</f>
        <v>1108.8</v>
      </c>
      <c r="G414" s="9">
        <f>E414 * C414 * 1.5</f>
        <v>70.686000000000107</v>
      </c>
      <c r="H414" s="7">
        <f>F414+G414</f>
        <v>1179.4860000000001</v>
      </c>
      <c r="I414" s="7">
        <f>MAX(0,
IF(H414&lt;=800,
H414*0.2,
800*0.2+(H414-800)*0.4
)-70
)</f>
        <v>241.79440000000005</v>
      </c>
      <c r="J414" s="7">
        <f>IF(H414&lt;=231,
H414*0.005,
IF(H414&lt;=693,
231*0.005+(H414-231)*0.02,
231*0.005+462*0.02+(H414-693)*0.045
))</f>
        <v>32.286870000000008</v>
      </c>
      <c r="K414" s="7">
        <f>H414*0.04</f>
        <v>47.179440000000007</v>
      </c>
      <c r="L414" s="7">
        <f>I414+J414+K414</f>
        <v>321.26071000000007</v>
      </c>
      <c r="M414" s="7">
        <f>H414-L414</f>
        <v>858.22529000000009</v>
      </c>
    </row>
    <row r="415" spans="1:13" x14ac:dyDescent="0.3">
      <c r="A415" t="s">
        <v>413</v>
      </c>
      <c r="B415" t="s">
        <v>17</v>
      </c>
      <c r="C415" s="7">
        <v>33.380000000000003</v>
      </c>
      <c r="D415" s="8">
        <v>35.4</v>
      </c>
      <c r="E415" s="8">
        <f>MAX(0, D415-40)</f>
        <v>0</v>
      </c>
      <c r="F415" s="7">
        <f>MIN(D415,40)*C415</f>
        <v>1181.652</v>
      </c>
      <c r="G415" s="9">
        <f>E415 * C415 * 1.5</f>
        <v>0</v>
      </c>
      <c r="H415" s="7">
        <f>F415+G415</f>
        <v>1181.652</v>
      </c>
      <c r="I415" s="7">
        <f>MAX(0,
IF(H415&lt;=800,
H415*0.2,
800*0.2+(H415-800)*0.4
)-70
)</f>
        <v>242.66079999999999</v>
      </c>
      <c r="J415" s="7">
        <f>IF(H415&lt;=231,
H415*0.005,
IF(H415&lt;=693,
231*0.005+(H415-231)*0.02,
231*0.005+462*0.02+(H415-693)*0.045
))</f>
        <v>32.384340000000002</v>
      </c>
      <c r="K415" s="7">
        <f>H415*0.04</f>
        <v>47.266080000000002</v>
      </c>
      <c r="L415" s="7">
        <f>I415+J415+K415</f>
        <v>322.31121999999999</v>
      </c>
      <c r="M415" s="7">
        <f>H415-L415</f>
        <v>859.34078</v>
      </c>
    </row>
    <row r="416" spans="1:13" x14ac:dyDescent="0.3">
      <c r="A416" t="s">
        <v>113</v>
      </c>
      <c r="B416" t="s">
        <v>66</v>
      </c>
      <c r="C416" s="7">
        <v>27.33</v>
      </c>
      <c r="D416" s="8">
        <v>42.2</v>
      </c>
      <c r="E416" s="8">
        <f>MAX(0, D416-40)</f>
        <v>2.2000000000000028</v>
      </c>
      <c r="F416" s="7">
        <f>MIN(D416,40)*C416</f>
        <v>1093.1999999999998</v>
      </c>
      <c r="G416" s="9">
        <f>E416 * C416 * 1.5</f>
        <v>90.189000000000107</v>
      </c>
      <c r="H416" s="7">
        <f>F416+G416</f>
        <v>1183.3889999999999</v>
      </c>
      <c r="I416" s="7">
        <f>MAX(0,
IF(H416&lt;=800,
H416*0.2,
800*0.2+(H416-800)*0.4
)-70
)</f>
        <v>243.35559999999998</v>
      </c>
      <c r="J416" s="7">
        <f>IF(H416&lt;=231,
H416*0.005,
IF(H416&lt;=693,
231*0.005+(H416-231)*0.02,
231*0.005+462*0.02+(H416-693)*0.045
))</f>
        <v>32.462504999999993</v>
      </c>
      <c r="K416" s="7">
        <f>H416*0.04</f>
        <v>47.335559999999994</v>
      </c>
      <c r="L416" s="7">
        <f>I416+J416+K416</f>
        <v>323.15366499999993</v>
      </c>
      <c r="M416" s="7">
        <f>H416-L416</f>
        <v>860.23533499999996</v>
      </c>
    </row>
    <row r="417" spans="1:13" x14ac:dyDescent="0.3">
      <c r="A417" t="s">
        <v>259</v>
      </c>
      <c r="B417" t="s">
        <v>17</v>
      </c>
      <c r="C417" s="7">
        <v>30.17</v>
      </c>
      <c r="D417" s="8">
        <v>39.299999999999997</v>
      </c>
      <c r="E417" s="8">
        <f>MAX(0, D417-40)</f>
        <v>0</v>
      </c>
      <c r="F417" s="7">
        <f>MIN(D417,40)*C417</f>
        <v>1185.681</v>
      </c>
      <c r="G417" s="9">
        <f>E417 * C417 * 1.5</f>
        <v>0</v>
      </c>
      <c r="H417" s="7">
        <f>F417+G417</f>
        <v>1185.681</v>
      </c>
      <c r="I417" s="7">
        <f>MAX(0,
IF(H417&lt;=800,
H417*0.2,
800*0.2+(H417-800)*0.4
)-70
)</f>
        <v>244.27240000000006</v>
      </c>
      <c r="J417" s="7">
        <f>IF(H417&lt;=231,
H417*0.005,
IF(H417&lt;=693,
231*0.005+(H417-231)*0.02,
231*0.005+462*0.02+(H417-693)*0.045
))</f>
        <v>32.565645000000004</v>
      </c>
      <c r="K417" s="7">
        <f>H417*0.04</f>
        <v>47.427240000000005</v>
      </c>
      <c r="L417" s="7">
        <f>I417+J417+K417</f>
        <v>324.26528500000006</v>
      </c>
      <c r="M417" s="7">
        <f>H417-L417</f>
        <v>861.41571499999998</v>
      </c>
    </row>
    <row r="418" spans="1:13" x14ac:dyDescent="0.3">
      <c r="A418" t="s">
        <v>153</v>
      </c>
      <c r="B418" t="s">
        <v>125</v>
      </c>
      <c r="C418" s="7">
        <v>31.88</v>
      </c>
      <c r="D418" s="8">
        <v>37.299999999999997</v>
      </c>
      <c r="E418" s="8">
        <f>MAX(0, D418-40)</f>
        <v>0</v>
      </c>
      <c r="F418" s="7">
        <f>MIN(D418,40)*C418</f>
        <v>1189.1239999999998</v>
      </c>
      <c r="G418" s="9">
        <f>E418 * C418 * 1.5</f>
        <v>0</v>
      </c>
      <c r="H418" s="7">
        <f>F418+G418</f>
        <v>1189.1239999999998</v>
      </c>
      <c r="I418" s="7">
        <f>MAX(0,
IF(H418&lt;=800,
H418*0.2,
800*0.2+(H418-800)*0.4
)-70
)</f>
        <v>245.64959999999996</v>
      </c>
      <c r="J418" s="7">
        <f>IF(H418&lt;=231,
H418*0.005,
IF(H418&lt;=693,
231*0.005+(H418-231)*0.02,
231*0.005+462*0.02+(H418-693)*0.045
))</f>
        <v>32.720579999999991</v>
      </c>
      <c r="K418" s="7">
        <f>H418*0.04</f>
        <v>47.564959999999992</v>
      </c>
      <c r="L418" s="7">
        <f>I418+J418+K418</f>
        <v>325.93513999999993</v>
      </c>
      <c r="M418" s="7">
        <f>H418-L418</f>
        <v>863.18885999999986</v>
      </c>
    </row>
    <row r="419" spans="1:13" x14ac:dyDescent="0.3">
      <c r="A419" t="s">
        <v>249</v>
      </c>
      <c r="B419" t="s">
        <v>59</v>
      </c>
      <c r="C419" s="7">
        <v>27.53</v>
      </c>
      <c r="D419" s="8">
        <v>42.2</v>
      </c>
      <c r="E419" s="8">
        <f>MAX(0, D419-40)</f>
        <v>2.2000000000000028</v>
      </c>
      <c r="F419" s="7">
        <f>MIN(D419,40)*C419</f>
        <v>1101.2</v>
      </c>
      <c r="G419" s="9">
        <f>E419 * C419 * 1.5</f>
        <v>90.849000000000117</v>
      </c>
      <c r="H419" s="7">
        <f>F419+G419</f>
        <v>1192.0490000000002</v>
      </c>
      <c r="I419" s="7">
        <f>MAX(0,
IF(H419&lt;=800,
H419*0.2,
800*0.2+(H419-800)*0.4
)-70
)</f>
        <v>246.81960000000009</v>
      </c>
      <c r="J419" s="7">
        <f>IF(H419&lt;=231,
H419*0.005,
IF(H419&lt;=693,
231*0.005+(H419-231)*0.02,
231*0.005+462*0.02+(H419-693)*0.045
))</f>
        <v>32.852205000000012</v>
      </c>
      <c r="K419" s="7">
        <f>H419*0.04</f>
        <v>47.681960000000011</v>
      </c>
      <c r="L419" s="7">
        <f>I419+J419+K419</f>
        <v>327.35376500000012</v>
      </c>
      <c r="M419" s="7">
        <f>H419-L419</f>
        <v>864.69523500000014</v>
      </c>
    </row>
    <row r="420" spans="1:13" x14ac:dyDescent="0.3">
      <c r="A420" t="s">
        <v>329</v>
      </c>
      <c r="B420" t="s">
        <v>66</v>
      </c>
      <c r="C420" s="7">
        <v>26.09</v>
      </c>
      <c r="D420" s="8">
        <v>43.8</v>
      </c>
      <c r="E420" s="8">
        <f>MAX(0, D420-40)</f>
        <v>3.7999999999999972</v>
      </c>
      <c r="F420" s="7">
        <f>MIN(D420,40)*C420</f>
        <v>1043.5999999999999</v>
      </c>
      <c r="G420" s="9">
        <f>E420 * C420 * 1.5</f>
        <v>148.71299999999988</v>
      </c>
      <c r="H420" s="7">
        <f>F420+G420</f>
        <v>1192.3129999999999</v>
      </c>
      <c r="I420" s="7">
        <f>MAX(0,
IF(H420&lt;=800,
H420*0.2,
800*0.2+(H420-800)*0.4
)-70
)</f>
        <v>246.92519999999996</v>
      </c>
      <c r="J420" s="7">
        <f>IF(H420&lt;=231,
H420*0.005,
IF(H420&lt;=693,
231*0.005+(H420-231)*0.02,
231*0.005+462*0.02+(H420-693)*0.045
))</f>
        <v>32.864084999999989</v>
      </c>
      <c r="K420" s="7">
        <f>H420*0.04</f>
        <v>47.692519999999995</v>
      </c>
      <c r="L420" s="7">
        <f>I420+J420+K420</f>
        <v>327.48180499999995</v>
      </c>
      <c r="M420" s="7">
        <f>H420-L420</f>
        <v>864.83119499999998</v>
      </c>
    </row>
    <row r="421" spans="1:13" x14ac:dyDescent="0.3">
      <c r="A421" t="s">
        <v>202</v>
      </c>
      <c r="B421" t="s">
        <v>7</v>
      </c>
      <c r="C421" s="7">
        <v>30.31</v>
      </c>
      <c r="D421" s="8">
        <v>39.4</v>
      </c>
      <c r="E421" s="8">
        <f>MAX(0, D421-40)</f>
        <v>0</v>
      </c>
      <c r="F421" s="7">
        <f>MIN(D421,40)*C421</f>
        <v>1194.2139999999999</v>
      </c>
      <c r="G421" s="9">
        <f>E421 * C421 * 1.5</f>
        <v>0</v>
      </c>
      <c r="H421" s="7">
        <f>F421+G421</f>
        <v>1194.2139999999999</v>
      </c>
      <c r="I421" s="7">
        <f>MAX(0,
IF(H421&lt;=800,
H421*0.2,
800*0.2+(H421-800)*0.4
)-70
)</f>
        <v>247.68560000000002</v>
      </c>
      <c r="J421" s="7">
        <f>IF(H421&lt;=231,
H421*0.005,
IF(H421&lt;=693,
231*0.005+(H421-231)*0.02,
231*0.005+462*0.02+(H421-693)*0.045
))</f>
        <v>32.949629999999999</v>
      </c>
      <c r="K421" s="7">
        <f>H421*0.04</f>
        <v>47.768560000000001</v>
      </c>
      <c r="L421" s="7">
        <f>I421+J421+K421</f>
        <v>328.40379000000001</v>
      </c>
      <c r="M421" s="7">
        <f>H421-L421</f>
        <v>865.81020999999987</v>
      </c>
    </row>
    <row r="422" spans="1:13" x14ac:dyDescent="0.3">
      <c r="A422" t="s">
        <v>438</v>
      </c>
      <c r="B422" t="s">
        <v>19</v>
      </c>
      <c r="C422" s="7">
        <v>30.78</v>
      </c>
      <c r="D422" s="8">
        <v>38.9</v>
      </c>
      <c r="E422" s="8">
        <f>MAX(0, D422-40)</f>
        <v>0</v>
      </c>
      <c r="F422" s="7">
        <f>MIN(D422,40)*C422</f>
        <v>1197.3420000000001</v>
      </c>
      <c r="G422" s="9">
        <f>E422 * C422 * 1.5</f>
        <v>0</v>
      </c>
      <c r="H422" s="7">
        <f>F422+G422</f>
        <v>1197.3420000000001</v>
      </c>
      <c r="I422" s="7">
        <f>MAX(0,
IF(H422&lt;=800,
H422*0.2,
800*0.2+(H422-800)*0.4
)-70
)</f>
        <v>248.93680000000006</v>
      </c>
      <c r="J422" s="7">
        <f>IF(H422&lt;=231,
H422*0.005,
IF(H422&lt;=693,
231*0.005+(H422-231)*0.02,
231*0.005+462*0.02+(H422-693)*0.045
))</f>
        <v>33.090389999999999</v>
      </c>
      <c r="K422" s="7">
        <f>H422*0.04</f>
        <v>47.893680000000003</v>
      </c>
      <c r="L422" s="7">
        <f>I422+J422+K422</f>
        <v>329.92087000000009</v>
      </c>
      <c r="M422" s="7">
        <f>H422-L422</f>
        <v>867.42112999999995</v>
      </c>
    </row>
    <row r="423" spans="1:13" x14ac:dyDescent="0.3">
      <c r="A423" t="s">
        <v>442</v>
      </c>
      <c r="B423" t="s">
        <v>46</v>
      </c>
      <c r="C423" s="7">
        <v>31.97</v>
      </c>
      <c r="D423" s="8">
        <v>37.5</v>
      </c>
      <c r="E423" s="8">
        <f>MAX(0, D423-40)</f>
        <v>0</v>
      </c>
      <c r="F423" s="7">
        <f>MIN(D423,40)*C423</f>
        <v>1198.875</v>
      </c>
      <c r="G423" s="9">
        <f>E423 * C423 * 1.5</f>
        <v>0</v>
      </c>
      <c r="H423" s="7">
        <f>F423+G423</f>
        <v>1198.875</v>
      </c>
      <c r="I423" s="7">
        <f>MAX(0,
IF(H423&lt;=800,
H423*0.2,
800*0.2+(H423-800)*0.4
)-70
)</f>
        <v>249.55</v>
      </c>
      <c r="J423" s="7">
        <f>IF(H423&lt;=231,
H423*0.005,
IF(H423&lt;=693,
231*0.005+(H423-231)*0.02,
231*0.005+462*0.02+(H423-693)*0.045
))</f>
        <v>33.159374999999997</v>
      </c>
      <c r="K423" s="7">
        <f>H423*0.04</f>
        <v>47.954999999999998</v>
      </c>
      <c r="L423" s="7">
        <f>I423+J423+K423</f>
        <v>330.66437500000001</v>
      </c>
      <c r="M423" s="7">
        <f>H423-L423</f>
        <v>868.21062499999994</v>
      </c>
    </row>
    <row r="424" spans="1:13" x14ac:dyDescent="0.3">
      <c r="A424" t="s">
        <v>377</v>
      </c>
      <c r="B424" t="s">
        <v>43</v>
      </c>
      <c r="C424" s="7">
        <v>25.4</v>
      </c>
      <c r="D424" s="8">
        <v>44.8</v>
      </c>
      <c r="E424" s="8">
        <f>MAX(0, D424-40)</f>
        <v>4.7999999999999972</v>
      </c>
      <c r="F424" s="7">
        <f>MIN(D424,40)*C424</f>
        <v>1016</v>
      </c>
      <c r="G424" s="9">
        <f>E424 * C424 * 1.5</f>
        <v>182.87999999999988</v>
      </c>
      <c r="H424" s="7">
        <f>F424+G424</f>
        <v>1198.8799999999999</v>
      </c>
      <c r="I424" s="7">
        <f>MAX(0,
IF(H424&lt;=800,
H424*0.2,
800*0.2+(H424-800)*0.4
)-70
)</f>
        <v>249.55199999999996</v>
      </c>
      <c r="J424" s="7">
        <f>IF(H424&lt;=231,
H424*0.005,
IF(H424&lt;=693,
231*0.005+(H424-231)*0.02,
231*0.005+462*0.02+(H424-693)*0.045
))</f>
        <v>33.159599999999998</v>
      </c>
      <c r="K424" s="7">
        <f>H424*0.04</f>
        <v>47.955199999999998</v>
      </c>
      <c r="L424" s="7">
        <f>I424+J424+K424</f>
        <v>330.66679999999997</v>
      </c>
      <c r="M424" s="7">
        <f>H424-L424</f>
        <v>868.21319999999992</v>
      </c>
    </row>
    <row r="425" spans="1:13" x14ac:dyDescent="0.3">
      <c r="A425" t="s">
        <v>365</v>
      </c>
      <c r="B425" t="s">
        <v>73</v>
      </c>
      <c r="C425" s="7">
        <v>25.82</v>
      </c>
      <c r="D425" s="8">
        <v>44.3</v>
      </c>
      <c r="E425" s="8">
        <f>MAX(0, D425-40)</f>
        <v>4.2999999999999972</v>
      </c>
      <c r="F425" s="7">
        <f>MIN(D425,40)*C425</f>
        <v>1032.8</v>
      </c>
      <c r="G425" s="9">
        <f>E425 * C425 * 1.5</f>
        <v>166.53899999999987</v>
      </c>
      <c r="H425" s="7">
        <f>F425+G425</f>
        <v>1199.3389999999999</v>
      </c>
      <c r="I425" s="7">
        <f>MAX(0,
IF(H425&lt;=800,
H425*0.2,
800*0.2+(H425-800)*0.4
)-70
)</f>
        <v>249.73559999999998</v>
      </c>
      <c r="J425" s="7">
        <f>IF(H425&lt;=231,
H425*0.005,
IF(H425&lt;=693,
231*0.005+(H425-231)*0.02,
231*0.005+462*0.02+(H425-693)*0.045
))</f>
        <v>33.180254999999995</v>
      </c>
      <c r="K425" s="7">
        <f>H425*0.04</f>
        <v>47.973559999999999</v>
      </c>
      <c r="L425" s="7">
        <f>I425+J425+K425</f>
        <v>330.88941499999999</v>
      </c>
      <c r="M425" s="7">
        <f>H425-L425</f>
        <v>868.44958499999996</v>
      </c>
    </row>
    <row r="426" spans="1:13" x14ac:dyDescent="0.3">
      <c r="A426" t="s">
        <v>300</v>
      </c>
      <c r="B426" t="s">
        <v>125</v>
      </c>
      <c r="C426" s="7">
        <v>29.24</v>
      </c>
      <c r="D426" s="8">
        <v>40.700000000000003</v>
      </c>
      <c r="E426" s="8">
        <f>MAX(0, D426-40)</f>
        <v>0.70000000000000284</v>
      </c>
      <c r="F426" s="7">
        <f>MIN(D426,40)*C426</f>
        <v>1169.5999999999999</v>
      </c>
      <c r="G426" s="9">
        <f>E426 * C426 * 1.5</f>
        <v>30.702000000000123</v>
      </c>
      <c r="H426" s="7">
        <f>F426+G426</f>
        <v>1200.3020000000001</v>
      </c>
      <c r="I426" s="7">
        <f>MAX(0,
IF(H426&lt;=800,
H426*0.2,
800*0.2+(H426-800)*0.4
)-70
)</f>
        <v>250.12080000000003</v>
      </c>
      <c r="J426" s="7">
        <f>IF(H426&lt;=231,
H426*0.005,
IF(H426&lt;=693,
231*0.005+(H426-231)*0.02,
231*0.005+462*0.02+(H426-693)*0.045
))</f>
        <v>33.223590000000002</v>
      </c>
      <c r="K426" s="7">
        <f>H426*0.04</f>
        <v>48.012080000000005</v>
      </c>
      <c r="L426" s="7">
        <f>I426+J426+K426</f>
        <v>331.35647000000006</v>
      </c>
      <c r="M426" s="7">
        <f>H426-L426</f>
        <v>868.94553000000008</v>
      </c>
    </row>
    <row r="427" spans="1:13" x14ac:dyDescent="0.3">
      <c r="A427" t="s">
        <v>48</v>
      </c>
      <c r="B427" t="s">
        <v>49</v>
      </c>
      <c r="C427" s="7">
        <v>33.08</v>
      </c>
      <c r="D427" s="8">
        <v>36.299999999999997</v>
      </c>
      <c r="E427" s="8">
        <f>MAX(0, D427-40)</f>
        <v>0</v>
      </c>
      <c r="F427" s="7">
        <f>MIN(D427,40)*C427</f>
        <v>1200.8039999999999</v>
      </c>
      <c r="G427" s="9">
        <f>E427 * C427 * 1.5</f>
        <v>0</v>
      </c>
      <c r="H427" s="7">
        <f>F427+G427</f>
        <v>1200.8039999999999</v>
      </c>
      <c r="I427" s="7">
        <f>MAX(0,
IF(H427&lt;=800,
H427*0.2,
800*0.2+(H427-800)*0.4
)-70
)</f>
        <v>250.32159999999999</v>
      </c>
      <c r="J427" s="7">
        <f>IF(H427&lt;=231,
H427*0.005,
IF(H427&lt;=693,
231*0.005+(H427-231)*0.02,
231*0.005+462*0.02+(H427-693)*0.045
))</f>
        <v>33.246179999999995</v>
      </c>
      <c r="K427" s="7">
        <f>H427*0.04</f>
        <v>48.032159999999998</v>
      </c>
      <c r="L427" s="7">
        <f>I427+J427+K427</f>
        <v>331.59993999999995</v>
      </c>
      <c r="M427" s="7">
        <f>H427-L427</f>
        <v>869.20405999999991</v>
      </c>
    </row>
    <row r="428" spans="1:13" x14ac:dyDescent="0.3">
      <c r="A428" t="s">
        <v>162</v>
      </c>
      <c r="B428" t="s">
        <v>125</v>
      </c>
      <c r="C428" s="7">
        <v>32.99</v>
      </c>
      <c r="D428" s="8">
        <v>36.4</v>
      </c>
      <c r="E428" s="8">
        <f>MAX(0, D428-40)</f>
        <v>0</v>
      </c>
      <c r="F428" s="7">
        <f>MIN(D428,40)*C428</f>
        <v>1200.836</v>
      </c>
      <c r="G428" s="9">
        <f>E428 * C428 * 1.5</f>
        <v>0</v>
      </c>
      <c r="H428" s="7">
        <f>F428+G428</f>
        <v>1200.836</v>
      </c>
      <c r="I428" s="7">
        <f>MAX(0,
IF(H428&lt;=800,
H428*0.2,
800*0.2+(H428-800)*0.4
)-70
)</f>
        <v>250.33440000000002</v>
      </c>
      <c r="J428" s="7">
        <f>IF(H428&lt;=231,
H428*0.005,
IF(H428&lt;=693,
231*0.005+(H428-231)*0.02,
231*0.005+462*0.02+(H428-693)*0.045
))</f>
        <v>33.247619999999998</v>
      </c>
      <c r="K428" s="7">
        <f>H428*0.04</f>
        <v>48.033439999999999</v>
      </c>
      <c r="L428" s="7">
        <f>I428+J428+K428</f>
        <v>331.61545999999998</v>
      </c>
      <c r="M428" s="7">
        <f>H428-L428</f>
        <v>869.22054000000003</v>
      </c>
    </row>
    <row r="429" spans="1:13" x14ac:dyDescent="0.3">
      <c r="A429" t="s">
        <v>301</v>
      </c>
      <c r="B429" t="s">
        <v>11</v>
      </c>
      <c r="C429" s="7">
        <v>33.69</v>
      </c>
      <c r="D429" s="8">
        <v>35.700000000000003</v>
      </c>
      <c r="E429" s="8">
        <f>MAX(0, D429-40)</f>
        <v>0</v>
      </c>
      <c r="F429" s="7">
        <f>MIN(D429,40)*C429</f>
        <v>1202.7329999999999</v>
      </c>
      <c r="G429" s="9">
        <f>E429 * C429 * 1.5</f>
        <v>0</v>
      </c>
      <c r="H429" s="7">
        <f>F429+G429</f>
        <v>1202.7329999999999</v>
      </c>
      <c r="I429" s="7">
        <f>MAX(0,
IF(H429&lt;=800,
H429*0.2,
800*0.2+(H429-800)*0.4
)-70
)</f>
        <v>251.09320000000002</v>
      </c>
      <c r="J429" s="7">
        <f>IF(H429&lt;=231,
H429*0.005,
IF(H429&lt;=693,
231*0.005+(H429-231)*0.02,
231*0.005+462*0.02+(H429-693)*0.045
))</f>
        <v>33.332984999999994</v>
      </c>
      <c r="K429" s="7">
        <f>H429*0.04</f>
        <v>48.109319999999997</v>
      </c>
      <c r="L429" s="7">
        <f>I429+J429+K429</f>
        <v>332.53550500000006</v>
      </c>
      <c r="M429" s="7">
        <f>H429-L429</f>
        <v>870.19749499999989</v>
      </c>
    </row>
    <row r="430" spans="1:13" x14ac:dyDescent="0.3">
      <c r="A430" t="s">
        <v>47</v>
      </c>
      <c r="B430" t="s">
        <v>27</v>
      </c>
      <c r="C430" s="7">
        <v>33.520000000000003</v>
      </c>
      <c r="D430" s="8">
        <v>35.9</v>
      </c>
      <c r="E430" s="8">
        <f>MAX(0, D430-40)</f>
        <v>0</v>
      </c>
      <c r="F430" s="7">
        <f>MIN(D430,40)*C430</f>
        <v>1203.3680000000002</v>
      </c>
      <c r="G430" s="9">
        <f>E430 * C430 * 1.5</f>
        <v>0</v>
      </c>
      <c r="H430" s="7">
        <f>F430+G430</f>
        <v>1203.3680000000002</v>
      </c>
      <c r="I430" s="7">
        <f>MAX(0,
IF(H430&lt;=800,
H430*0.2,
800*0.2+(H430-800)*0.4
)-70
)</f>
        <v>251.34720000000004</v>
      </c>
      <c r="J430" s="7">
        <f>IF(H430&lt;=231,
H430*0.005,
IF(H430&lt;=693,
231*0.005+(H430-231)*0.02,
231*0.005+462*0.02+(H430-693)*0.045
))</f>
        <v>33.361560000000011</v>
      </c>
      <c r="K430" s="7">
        <f>H430*0.04</f>
        <v>48.134720000000009</v>
      </c>
      <c r="L430" s="7">
        <f>I430+J430+K430</f>
        <v>332.84348000000006</v>
      </c>
      <c r="M430" s="7">
        <f>H430-L430</f>
        <v>870.52452000000017</v>
      </c>
    </row>
    <row r="431" spans="1:13" x14ac:dyDescent="0.3">
      <c r="A431" t="s">
        <v>425</v>
      </c>
      <c r="B431" t="s">
        <v>209</v>
      </c>
      <c r="C431" s="7">
        <v>28.45</v>
      </c>
      <c r="D431" s="8">
        <v>41.6</v>
      </c>
      <c r="E431" s="8">
        <f>MAX(0, D431-40)</f>
        <v>1.6000000000000014</v>
      </c>
      <c r="F431" s="7">
        <f>MIN(D431,40)*C431</f>
        <v>1138</v>
      </c>
      <c r="G431" s="9">
        <f>E431 * C431 * 1.5</f>
        <v>68.280000000000058</v>
      </c>
      <c r="H431" s="7">
        <f>F431+G431</f>
        <v>1206.28</v>
      </c>
      <c r="I431" s="7">
        <f>MAX(0,
IF(H431&lt;=800,
H431*0.2,
800*0.2+(H431-800)*0.4
)-70
)</f>
        <v>252.512</v>
      </c>
      <c r="J431" s="7">
        <f>IF(H431&lt;=231,
H431*0.005,
IF(H431&lt;=693,
231*0.005+(H431-231)*0.02,
231*0.005+462*0.02+(H431-693)*0.045
))</f>
        <v>33.492599999999996</v>
      </c>
      <c r="K431" s="7">
        <f>H431*0.04</f>
        <v>48.251199999999997</v>
      </c>
      <c r="L431" s="7">
        <f>I431+J431+K431</f>
        <v>334.25579999999997</v>
      </c>
      <c r="M431" s="7">
        <f>H431-L431</f>
        <v>872.02420000000006</v>
      </c>
    </row>
    <row r="432" spans="1:13" x14ac:dyDescent="0.3">
      <c r="A432" t="s">
        <v>410</v>
      </c>
      <c r="B432" t="s">
        <v>25</v>
      </c>
      <c r="C432" s="7">
        <v>26.78</v>
      </c>
      <c r="D432" s="8">
        <v>43.5</v>
      </c>
      <c r="E432" s="8">
        <f>MAX(0, D432-40)</f>
        <v>3.5</v>
      </c>
      <c r="F432" s="7">
        <f>MIN(D432,40)*C432</f>
        <v>1071.2</v>
      </c>
      <c r="G432" s="9">
        <f>E432 * C432 * 1.5</f>
        <v>140.595</v>
      </c>
      <c r="H432" s="7">
        <f>F432+G432</f>
        <v>1211.7950000000001</v>
      </c>
      <c r="I432" s="7">
        <f>MAX(0,
IF(H432&lt;=800,
H432*0.2,
800*0.2+(H432-800)*0.4
)-70
)</f>
        <v>254.71800000000007</v>
      </c>
      <c r="J432" s="7">
        <f>IF(H432&lt;=231,
H432*0.005,
IF(H432&lt;=693,
231*0.005+(H432-231)*0.02,
231*0.005+462*0.02+(H432-693)*0.045
))</f>
        <v>33.740774999999999</v>
      </c>
      <c r="K432" s="7">
        <f>H432*0.04</f>
        <v>48.471800000000002</v>
      </c>
      <c r="L432" s="7">
        <f>I432+J432+K432</f>
        <v>336.93057500000009</v>
      </c>
      <c r="M432" s="7">
        <f>H432-L432</f>
        <v>874.86442499999998</v>
      </c>
    </row>
    <row r="433" spans="1:13" x14ac:dyDescent="0.3">
      <c r="A433" t="s">
        <v>315</v>
      </c>
      <c r="B433" t="s">
        <v>27</v>
      </c>
      <c r="C433" s="7">
        <v>30.19</v>
      </c>
      <c r="D433" s="8">
        <v>40.1</v>
      </c>
      <c r="E433" s="8">
        <f>MAX(0, D433-40)</f>
        <v>0.10000000000000142</v>
      </c>
      <c r="F433" s="7">
        <f>MIN(D433,40)*C433</f>
        <v>1207.6000000000001</v>
      </c>
      <c r="G433" s="9">
        <f>E433 * C433 * 1.5</f>
        <v>4.528500000000065</v>
      </c>
      <c r="H433" s="7">
        <f>F433+G433</f>
        <v>1212.1285000000003</v>
      </c>
      <c r="I433" s="7">
        <f>MAX(0,
IF(H433&lt;=800,
H433*0.2,
800*0.2+(H433-800)*0.4
)-70
)</f>
        <v>254.85140000000013</v>
      </c>
      <c r="J433" s="7">
        <f>IF(H433&lt;=231,
H433*0.005,
IF(H433&lt;=693,
231*0.005+(H433-231)*0.02,
231*0.005+462*0.02+(H433-693)*0.045
))</f>
        <v>33.755782500000009</v>
      </c>
      <c r="K433" s="7">
        <f>H433*0.04</f>
        <v>48.485140000000008</v>
      </c>
      <c r="L433" s="7">
        <f>I433+J433+K433</f>
        <v>337.09232250000014</v>
      </c>
      <c r="M433" s="7">
        <f>H433-L433</f>
        <v>875.03617750000012</v>
      </c>
    </row>
    <row r="434" spans="1:13" x14ac:dyDescent="0.3">
      <c r="A434" t="s">
        <v>390</v>
      </c>
      <c r="B434" t="s">
        <v>66</v>
      </c>
      <c r="C434" s="7">
        <v>26.18</v>
      </c>
      <c r="D434" s="8">
        <v>44.2</v>
      </c>
      <c r="E434" s="8">
        <f>MAX(0, D434-40)</f>
        <v>4.2000000000000028</v>
      </c>
      <c r="F434" s="7">
        <f>MIN(D434,40)*C434</f>
        <v>1047.2</v>
      </c>
      <c r="G434" s="9">
        <f>E434 * C434 * 1.5</f>
        <v>164.93400000000011</v>
      </c>
      <c r="H434" s="7">
        <f>F434+G434</f>
        <v>1212.1340000000002</v>
      </c>
      <c r="I434" s="7">
        <f>MAX(0,
IF(H434&lt;=800,
H434*0.2,
800*0.2+(H434-800)*0.4
)-70
)</f>
        <v>254.85360000000014</v>
      </c>
      <c r="J434" s="7">
        <f>IF(H434&lt;=231,
H434*0.005,
IF(H434&lt;=693,
231*0.005+(H434-231)*0.02,
231*0.005+462*0.02+(H434-693)*0.045
))</f>
        <v>33.75603000000001</v>
      </c>
      <c r="K434" s="7">
        <f>H434*0.04</f>
        <v>48.485360000000014</v>
      </c>
      <c r="L434" s="7">
        <f>I434+J434+K434</f>
        <v>337.09499000000017</v>
      </c>
      <c r="M434" s="7">
        <f>H434-L434</f>
        <v>875.03901000000008</v>
      </c>
    </row>
    <row r="435" spans="1:13" x14ac:dyDescent="0.3">
      <c r="A435" t="s">
        <v>169</v>
      </c>
      <c r="B435" t="s">
        <v>5</v>
      </c>
      <c r="C435" s="7">
        <v>28.24</v>
      </c>
      <c r="D435" s="8">
        <v>42</v>
      </c>
      <c r="E435" s="8">
        <f>MAX(0, D435-40)</f>
        <v>2</v>
      </c>
      <c r="F435" s="7">
        <f>MIN(D435,40)*C435</f>
        <v>1129.5999999999999</v>
      </c>
      <c r="G435" s="9">
        <f>E435 * C435 * 1.5</f>
        <v>84.72</v>
      </c>
      <c r="H435" s="7">
        <f>F435+G435</f>
        <v>1214.32</v>
      </c>
      <c r="I435" s="7">
        <f>MAX(0,
IF(H435&lt;=800,
H435*0.2,
800*0.2+(H435-800)*0.4
)-70
)</f>
        <v>255.72799999999995</v>
      </c>
      <c r="J435" s="7">
        <f>IF(H435&lt;=231,
H435*0.005,
IF(H435&lt;=693,
231*0.005+(H435-231)*0.02,
231*0.005+462*0.02+(H435-693)*0.045
))</f>
        <v>33.854399999999998</v>
      </c>
      <c r="K435" s="7">
        <f>H435*0.04</f>
        <v>48.572800000000001</v>
      </c>
      <c r="L435" s="7">
        <f>I435+J435+K435</f>
        <v>338.15519999999992</v>
      </c>
      <c r="M435" s="7">
        <f>H435-L435</f>
        <v>876.16480000000001</v>
      </c>
    </row>
    <row r="436" spans="1:13" x14ac:dyDescent="0.3">
      <c r="A436" t="s">
        <v>285</v>
      </c>
      <c r="B436" t="s">
        <v>5</v>
      </c>
      <c r="C436" s="7">
        <v>29.16</v>
      </c>
      <c r="D436" s="8">
        <v>41.2</v>
      </c>
      <c r="E436" s="8">
        <f>MAX(0, D436-40)</f>
        <v>1.2000000000000028</v>
      </c>
      <c r="F436" s="7">
        <f>MIN(D436,40)*C436</f>
        <v>1166.4000000000001</v>
      </c>
      <c r="G436" s="9">
        <f>E436 * C436 * 1.5</f>
        <v>52.488000000000127</v>
      </c>
      <c r="H436" s="7">
        <f>F436+G436</f>
        <v>1218.8880000000001</v>
      </c>
      <c r="I436" s="7">
        <f>MAX(0,
IF(H436&lt;=800,
H436*0.2,
800*0.2+(H436-800)*0.4
)-70
)</f>
        <v>257.55520000000007</v>
      </c>
      <c r="J436" s="7">
        <f>IF(H436&lt;=231,
H436*0.005,
IF(H436&lt;=693,
231*0.005+(H436-231)*0.02,
231*0.005+462*0.02+(H436-693)*0.045
))</f>
        <v>34.059960000000004</v>
      </c>
      <c r="K436" s="7">
        <f>H436*0.04</f>
        <v>48.755520000000004</v>
      </c>
      <c r="L436" s="7">
        <f>I436+J436+K436</f>
        <v>340.37068000000005</v>
      </c>
      <c r="M436" s="7">
        <f>H436-L436</f>
        <v>878.51732000000015</v>
      </c>
    </row>
    <row r="437" spans="1:13" x14ac:dyDescent="0.3">
      <c r="A437" t="s">
        <v>451</v>
      </c>
      <c r="B437" t="s">
        <v>15</v>
      </c>
      <c r="C437" s="7">
        <v>26.9</v>
      </c>
      <c r="D437" s="8">
        <v>43.6</v>
      </c>
      <c r="E437" s="8">
        <f>MAX(0, D437-40)</f>
        <v>3.6000000000000014</v>
      </c>
      <c r="F437" s="7">
        <f>MIN(D437,40)*C437</f>
        <v>1076</v>
      </c>
      <c r="G437" s="9">
        <f>E437 * C437 * 1.5</f>
        <v>145.26000000000005</v>
      </c>
      <c r="H437" s="7">
        <f>F437+G437</f>
        <v>1221.26</v>
      </c>
      <c r="I437" s="7">
        <f>MAX(0,
IF(H437&lt;=800,
H437*0.2,
800*0.2+(H437-800)*0.4
)-70
)</f>
        <v>258.50400000000002</v>
      </c>
      <c r="J437" s="7">
        <f>IF(H437&lt;=231,
H437*0.005,
IF(H437&lt;=693,
231*0.005+(H437-231)*0.02,
231*0.005+462*0.02+(H437-693)*0.045
))</f>
        <v>34.166699999999999</v>
      </c>
      <c r="K437" s="7">
        <f>H437*0.04</f>
        <v>48.8504</v>
      </c>
      <c r="L437" s="7">
        <f>I437+J437+K437</f>
        <v>341.52109999999999</v>
      </c>
      <c r="M437" s="7">
        <f>H437-L437</f>
        <v>879.73890000000006</v>
      </c>
    </row>
    <row r="438" spans="1:13" x14ac:dyDescent="0.3">
      <c r="A438" t="s">
        <v>239</v>
      </c>
      <c r="B438" t="s">
        <v>27</v>
      </c>
      <c r="C438" s="7">
        <v>30.9</v>
      </c>
      <c r="D438" s="8">
        <v>39.6</v>
      </c>
      <c r="E438" s="8">
        <f>MAX(0, D438-40)</f>
        <v>0</v>
      </c>
      <c r="F438" s="7">
        <f>MIN(D438,40)*C438</f>
        <v>1223.6400000000001</v>
      </c>
      <c r="G438" s="9">
        <f>E438 * C438 * 1.5</f>
        <v>0</v>
      </c>
      <c r="H438" s="7">
        <f>F438+G438</f>
        <v>1223.6400000000001</v>
      </c>
      <c r="I438" s="7">
        <f>MAX(0,
IF(H438&lt;=800,
H438*0.2,
800*0.2+(H438-800)*0.4
)-70
)</f>
        <v>259.45600000000002</v>
      </c>
      <c r="J438" s="7">
        <f>IF(H438&lt;=231,
H438*0.005,
IF(H438&lt;=693,
231*0.005+(H438-231)*0.02,
231*0.005+462*0.02+(H438-693)*0.045
))</f>
        <v>34.273800000000008</v>
      </c>
      <c r="K438" s="7">
        <f>H438*0.04</f>
        <v>48.945600000000006</v>
      </c>
      <c r="L438" s="7">
        <f>I438+J438+K438</f>
        <v>342.67540000000002</v>
      </c>
      <c r="M438" s="7">
        <f>H438-L438</f>
        <v>880.96460000000002</v>
      </c>
    </row>
    <row r="439" spans="1:13" x14ac:dyDescent="0.3">
      <c r="A439" t="s">
        <v>118</v>
      </c>
      <c r="B439" t="s">
        <v>13</v>
      </c>
      <c r="C439" s="7">
        <v>26.53</v>
      </c>
      <c r="D439" s="8">
        <v>44.1</v>
      </c>
      <c r="E439" s="8">
        <f>MAX(0, D439-40)</f>
        <v>4.1000000000000014</v>
      </c>
      <c r="F439" s="7">
        <f>MIN(D439,40)*C439</f>
        <v>1061.2</v>
      </c>
      <c r="G439" s="9">
        <f>E439 * C439 * 1.5</f>
        <v>163.15950000000007</v>
      </c>
      <c r="H439" s="7">
        <f>F439+G439</f>
        <v>1224.3595</v>
      </c>
      <c r="I439" s="7">
        <f>MAX(0,
IF(H439&lt;=800,
H439*0.2,
800*0.2+(H439-800)*0.4
)-70
)</f>
        <v>259.74380000000002</v>
      </c>
      <c r="J439" s="7">
        <f>IF(H439&lt;=231,
H439*0.005,
IF(H439&lt;=693,
231*0.005+(H439-231)*0.02,
231*0.005+462*0.02+(H439-693)*0.045
))</f>
        <v>34.306177500000004</v>
      </c>
      <c r="K439" s="7">
        <f>H439*0.04</f>
        <v>48.974380000000004</v>
      </c>
      <c r="L439" s="7">
        <f>I439+J439+K439</f>
        <v>343.02435750000001</v>
      </c>
      <c r="M439" s="7">
        <f>H439-L439</f>
        <v>881.33514250000007</v>
      </c>
    </row>
    <row r="440" spans="1:13" x14ac:dyDescent="0.3">
      <c r="A440" t="s">
        <v>473</v>
      </c>
      <c r="B440" t="s">
        <v>11</v>
      </c>
      <c r="C440" s="7">
        <v>33.42</v>
      </c>
      <c r="D440" s="8">
        <v>36.700000000000003</v>
      </c>
      <c r="E440" s="8">
        <f>MAX(0, D440-40)</f>
        <v>0</v>
      </c>
      <c r="F440" s="7">
        <f>MIN(D440,40)*C440</f>
        <v>1226.5140000000001</v>
      </c>
      <c r="G440" s="9">
        <f>E440 * C440 * 1.5</f>
        <v>0</v>
      </c>
      <c r="H440" s="7">
        <f>F440+G440</f>
        <v>1226.5140000000001</v>
      </c>
      <c r="I440" s="7">
        <f>MAX(0,
IF(H440&lt;=800,
H440*0.2,
800*0.2+(H440-800)*0.4
)-70
)</f>
        <v>260.60560000000009</v>
      </c>
      <c r="J440" s="7">
        <f>IF(H440&lt;=231,
H440*0.005,
IF(H440&lt;=693,
231*0.005+(H440-231)*0.02,
231*0.005+462*0.02+(H440-693)*0.045
))</f>
        <v>34.403130000000004</v>
      </c>
      <c r="K440" s="7">
        <f>H440*0.04</f>
        <v>49.060560000000009</v>
      </c>
      <c r="L440" s="7">
        <f>I440+J440+K440</f>
        <v>344.06929000000014</v>
      </c>
      <c r="M440" s="7">
        <f>H440-L440</f>
        <v>882.44470999999999</v>
      </c>
    </row>
    <row r="441" spans="1:13" x14ac:dyDescent="0.3">
      <c r="A441" t="s">
        <v>267</v>
      </c>
      <c r="B441" t="s">
        <v>46</v>
      </c>
      <c r="C441" s="7">
        <v>30.76</v>
      </c>
      <c r="D441" s="8">
        <v>40.1</v>
      </c>
      <c r="E441" s="8">
        <f>MAX(0, D441-40)</f>
        <v>0.10000000000000142</v>
      </c>
      <c r="F441" s="7">
        <f>MIN(D441,40)*C441</f>
        <v>1230.4000000000001</v>
      </c>
      <c r="G441" s="9">
        <f>E441 * C441 * 1.5</f>
        <v>4.6140000000000665</v>
      </c>
      <c r="H441" s="7">
        <f>F441+G441</f>
        <v>1235.0140000000001</v>
      </c>
      <c r="I441" s="7">
        <f>MAX(0,
IF(H441&lt;=800,
H441*0.2,
800*0.2+(H441-800)*0.4
)-70
)</f>
        <v>264.00560000000007</v>
      </c>
      <c r="J441" s="7">
        <f>IF(H441&lt;=231,
H441*0.005,
IF(H441&lt;=693,
231*0.005+(H441-231)*0.02,
231*0.005+462*0.02+(H441-693)*0.045
))</f>
        <v>34.785630000000005</v>
      </c>
      <c r="K441" s="7">
        <f>H441*0.04</f>
        <v>49.400560000000006</v>
      </c>
      <c r="L441" s="7">
        <f>I441+J441+K441</f>
        <v>348.19179000000008</v>
      </c>
      <c r="M441" s="7">
        <f>H441-L441</f>
        <v>886.82221000000004</v>
      </c>
    </row>
    <row r="442" spans="1:13" x14ac:dyDescent="0.3">
      <c r="A442" t="s">
        <v>45</v>
      </c>
      <c r="B442" t="s">
        <v>46</v>
      </c>
      <c r="C442" s="7">
        <v>27.58</v>
      </c>
      <c r="D442" s="8">
        <v>43.3</v>
      </c>
      <c r="E442" s="8">
        <f>MAX(0, D442-40)</f>
        <v>3.2999999999999972</v>
      </c>
      <c r="F442" s="7">
        <f>MIN(D442,40)*C442</f>
        <v>1103.1999999999998</v>
      </c>
      <c r="G442" s="9">
        <f>E442 * C442 * 1.5</f>
        <v>136.52099999999987</v>
      </c>
      <c r="H442" s="7">
        <f>F442+G442</f>
        <v>1239.7209999999998</v>
      </c>
      <c r="I442" s="7">
        <f>MAX(0,
IF(H442&lt;=800,
H442*0.2,
800*0.2+(H442-800)*0.4
)-70
)</f>
        <v>265.88839999999993</v>
      </c>
      <c r="J442" s="7">
        <f>IF(H442&lt;=231,
H442*0.005,
IF(H442&lt;=693,
231*0.005+(H442-231)*0.02,
231*0.005+462*0.02+(H442-693)*0.045
))</f>
        <v>34.997444999999985</v>
      </c>
      <c r="K442" s="7">
        <f>H442*0.04</f>
        <v>49.58883999999999</v>
      </c>
      <c r="L442" s="7">
        <f>I442+J442+K442</f>
        <v>350.47468499999991</v>
      </c>
      <c r="M442" s="7">
        <f>H442-L442</f>
        <v>889.24631499999987</v>
      </c>
    </row>
    <row r="443" spans="1:13" x14ac:dyDescent="0.3">
      <c r="A443" t="s">
        <v>53</v>
      </c>
      <c r="B443" t="s">
        <v>5</v>
      </c>
      <c r="C443" s="7">
        <v>33.35</v>
      </c>
      <c r="D443" s="8">
        <v>37.200000000000003</v>
      </c>
      <c r="E443" s="8">
        <f>MAX(0, D443-40)</f>
        <v>0</v>
      </c>
      <c r="F443" s="7">
        <f>MIN(D443,40)*C443</f>
        <v>1240.6200000000001</v>
      </c>
      <c r="G443" s="9">
        <f>E443 * C443 * 1.5</f>
        <v>0</v>
      </c>
      <c r="H443" s="7">
        <f>F443+G443</f>
        <v>1240.6200000000001</v>
      </c>
      <c r="I443" s="7">
        <f>MAX(0,
IF(H443&lt;=800,
H443*0.2,
800*0.2+(H443-800)*0.4
)-70
)</f>
        <v>266.24800000000005</v>
      </c>
      <c r="J443" s="7">
        <f>IF(H443&lt;=231,
H443*0.005,
IF(H443&lt;=693,
231*0.005+(H443-231)*0.02,
231*0.005+462*0.02+(H443-693)*0.045
))</f>
        <v>35.037900000000008</v>
      </c>
      <c r="K443" s="7">
        <f>H443*0.04</f>
        <v>49.624800000000008</v>
      </c>
      <c r="L443" s="7">
        <f>I443+J443+K443</f>
        <v>350.91070000000008</v>
      </c>
      <c r="M443" s="7">
        <f>H443-L443</f>
        <v>889.70929999999998</v>
      </c>
    </row>
    <row r="444" spans="1:13" x14ac:dyDescent="0.3">
      <c r="A444" t="s">
        <v>50</v>
      </c>
      <c r="B444" t="s">
        <v>37</v>
      </c>
      <c r="C444" s="7">
        <v>31.68</v>
      </c>
      <c r="D444" s="8">
        <v>39.200000000000003</v>
      </c>
      <c r="E444" s="8">
        <f>MAX(0, D444-40)</f>
        <v>0</v>
      </c>
      <c r="F444" s="7">
        <f>MIN(D444,40)*C444</f>
        <v>1241.856</v>
      </c>
      <c r="G444" s="9">
        <f>E444 * C444 * 1.5</f>
        <v>0</v>
      </c>
      <c r="H444" s="7">
        <f>F444+G444</f>
        <v>1241.856</v>
      </c>
      <c r="I444" s="7">
        <f>MAX(0,
IF(H444&lt;=800,
H444*0.2,
800*0.2+(H444-800)*0.4
)-70
)</f>
        <v>266.74239999999998</v>
      </c>
      <c r="J444" s="7">
        <f>IF(H444&lt;=231,
H444*0.005,
IF(H444&lt;=693,
231*0.005+(H444-231)*0.02,
231*0.005+462*0.02+(H444-693)*0.045
))</f>
        <v>35.093519999999998</v>
      </c>
      <c r="K444" s="7">
        <f>H444*0.04</f>
        <v>49.674239999999998</v>
      </c>
      <c r="L444" s="7">
        <f>I444+J444+K444</f>
        <v>351.51015999999998</v>
      </c>
      <c r="M444" s="7">
        <f>H444-L444</f>
        <v>890.34583999999995</v>
      </c>
    </row>
    <row r="445" spans="1:13" x14ac:dyDescent="0.3">
      <c r="A445" t="s">
        <v>211</v>
      </c>
      <c r="B445" t="s">
        <v>43</v>
      </c>
      <c r="C445" s="7">
        <v>26.44</v>
      </c>
      <c r="D445" s="8">
        <v>44.8</v>
      </c>
      <c r="E445" s="8">
        <f>MAX(0, D445-40)</f>
        <v>4.7999999999999972</v>
      </c>
      <c r="F445" s="7">
        <f>MIN(D445,40)*C445</f>
        <v>1057.6000000000001</v>
      </c>
      <c r="G445" s="9">
        <f>E445 * C445 * 1.5</f>
        <v>190.36799999999991</v>
      </c>
      <c r="H445" s="7">
        <f>F445+G445</f>
        <v>1247.9680000000001</v>
      </c>
      <c r="I445" s="7">
        <f>MAX(0,
IF(H445&lt;=800,
H445*0.2,
800*0.2+(H445-800)*0.4
)-70
)</f>
        <v>269.18720000000008</v>
      </c>
      <c r="J445" s="7">
        <f>IF(H445&lt;=231,
H445*0.005,
IF(H445&lt;=693,
231*0.005+(H445-231)*0.02,
231*0.005+462*0.02+(H445-693)*0.045
))</f>
        <v>35.368560000000002</v>
      </c>
      <c r="K445" s="7">
        <f>H445*0.04</f>
        <v>49.918720000000008</v>
      </c>
      <c r="L445" s="7">
        <f>I445+J445+K445</f>
        <v>354.47448000000009</v>
      </c>
      <c r="M445" s="7">
        <f>H445-L445</f>
        <v>893.49351999999999</v>
      </c>
    </row>
    <row r="446" spans="1:13" x14ac:dyDescent="0.3">
      <c r="A446" t="s">
        <v>26</v>
      </c>
      <c r="B446" t="s">
        <v>27</v>
      </c>
      <c r="C446" s="7">
        <v>28.75</v>
      </c>
      <c r="D446" s="8">
        <v>42.3</v>
      </c>
      <c r="E446" s="8">
        <f>MAX(0, D446-40)</f>
        <v>2.2999999999999972</v>
      </c>
      <c r="F446" s="7">
        <f>MIN(D446,40)*C446</f>
        <v>1150</v>
      </c>
      <c r="G446" s="9">
        <f>E446 * C446 * 1.5</f>
        <v>99.187499999999872</v>
      </c>
      <c r="H446" s="7">
        <f>F446+G446</f>
        <v>1249.1874999999998</v>
      </c>
      <c r="I446" s="7">
        <f>MAX(0,
IF(H446&lt;=800,
H446*0.2,
800*0.2+(H446-800)*0.4
)-70
)</f>
        <v>269.67499999999995</v>
      </c>
      <c r="J446" s="7">
        <f>IF(H446&lt;=231,
H446*0.005,
IF(H446&lt;=693,
231*0.005+(H446-231)*0.02,
231*0.005+462*0.02+(H446-693)*0.045
))</f>
        <v>35.423437499999991</v>
      </c>
      <c r="K446" s="7">
        <f>H446*0.04</f>
        <v>49.967499999999994</v>
      </c>
      <c r="L446" s="7">
        <f>I446+J446+K446</f>
        <v>355.0659374999999</v>
      </c>
      <c r="M446" s="7">
        <f>H446-L446</f>
        <v>894.12156249999987</v>
      </c>
    </row>
    <row r="447" spans="1:13" x14ac:dyDescent="0.3">
      <c r="A447" t="s">
        <v>405</v>
      </c>
      <c r="B447" t="s">
        <v>19</v>
      </c>
      <c r="C447" s="7">
        <v>29.41</v>
      </c>
      <c r="D447" s="8">
        <v>41.7</v>
      </c>
      <c r="E447" s="8">
        <f>MAX(0, D447-40)</f>
        <v>1.7000000000000028</v>
      </c>
      <c r="F447" s="7">
        <f>MIN(D447,40)*C447</f>
        <v>1176.4000000000001</v>
      </c>
      <c r="G447" s="9">
        <f>E447 * C447 * 1.5</f>
        <v>74.995500000000135</v>
      </c>
      <c r="H447" s="7">
        <f>F447+G447</f>
        <v>1251.3955000000003</v>
      </c>
      <c r="I447" s="7">
        <f>MAX(0,
IF(H447&lt;=800,
H447*0.2,
800*0.2+(H447-800)*0.4
)-70
)</f>
        <v>270.55820000000017</v>
      </c>
      <c r="J447" s="7">
        <f>IF(H447&lt;=231,
H447*0.005,
IF(H447&lt;=693,
231*0.005+(H447-231)*0.02,
231*0.005+462*0.02+(H447-693)*0.045
))</f>
        <v>35.52279750000001</v>
      </c>
      <c r="K447" s="7">
        <f>H447*0.04</f>
        <v>50.055820000000011</v>
      </c>
      <c r="L447" s="7">
        <f>I447+J447+K447</f>
        <v>356.13681750000023</v>
      </c>
      <c r="M447" s="7">
        <f>H447-L447</f>
        <v>895.25868250000008</v>
      </c>
    </row>
    <row r="448" spans="1:13" x14ac:dyDescent="0.3">
      <c r="A448" t="s">
        <v>141</v>
      </c>
      <c r="B448" t="s">
        <v>11</v>
      </c>
      <c r="C448" s="7">
        <v>29.19</v>
      </c>
      <c r="D448" s="8">
        <v>42</v>
      </c>
      <c r="E448" s="8">
        <f>MAX(0, D448-40)</f>
        <v>2</v>
      </c>
      <c r="F448" s="7">
        <f>MIN(D448,40)*C448</f>
        <v>1167.6000000000001</v>
      </c>
      <c r="G448" s="9">
        <f>E448 * C448 * 1.5</f>
        <v>87.570000000000007</v>
      </c>
      <c r="H448" s="7">
        <f>F448+G448</f>
        <v>1255.17</v>
      </c>
      <c r="I448" s="7">
        <f>MAX(0,
IF(H448&lt;=800,
H448*0.2,
800*0.2+(H448-800)*0.4
)-70
)</f>
        <v>272.06800000000004</v>
      </c>
      <c r="J448" s="7">
        <f>IF(H448&lt;=231,
H448*0.005,
IF(H448&lt;=693,
231*0.005+(H448-231)*0.02,
231*0.005+462*0.02+(H448-693)*0.045
))</f>
        <v>35.69265</v>
      </c>
      <c r="K448" s="7">
        <f>H448*0.04</f>
        <v>50.206800000000001</v>
      </c>
      <c r="L448" s="7">
        <f>I448+J448+K448</f>
        <v>357.96745000000004</v>
      </c>
      <c r="M448" s="7">
        <f>H448-L448</f>
        <v>897.20254999999997</v>
      </c>
    </row>
    <row r="449" spans="1:13" x14ac:dyDescent="0.3">
      <c r="A449" t="s">
        <v>280</v>
      </c>
      <c r="B449" t="s">
        <v>43</v>
      </c>
      <c r="C449" s="7">
        <v>26.57</v>
      </c>
      <c r="D449" s="8">
        <v>44.9</v>
      </c>
      <c r="E449" s="8">
        <f>MAX(0, D449-40)</f>
        <v>4.8999999999999986</v>
      </c>
      <c r="F449" s="7">
        <f>MIN(D449,40)*C449</f>
        <v>1062.8</v>
      </c>
      <c r="G449" s="9">
        <f>E449 * C449 * 1.5</f>
        <v>195.28949999999992</v>
      </c>
      <c r="H449" s="7">
        <f>F449+G449</f>
        <v>1258.0894999999998</v>
      </c>
      <c r="I449" s="7">
        <f>MAX(0,
IF(H449&lt;=800,
H449*0.2,
800*0.2+(H449-800)*0.4
)-70
)</f>
        <v>273.23579999999993</v>
      </c>
      <c r="J449" s="7">
        <f>IF(H449&lt;=231,
H449*0.005,
IF(H449&lt;=693,
231*0.005+(H449-231)*0.02,
231*0.005+462*0.02+(H449-693)*0.045
))</f>
        <v>35.824027499999985</v>
      </c>
      <c r="K449" s="7">
        <f>H449*0.04</f>
        <v>50.323579999999993</v>
      </c>
      <c r="L449" s="7">
        <f>I449+J449+K449</f>
        <v>359.38340749999992</v>
      </c>
      <c r="M449" s="7">
        <f>H449-L449</f>
        <v>898.70609249999984</v>
      </c>
    </row>
    <row r="450" spans="1:13" x14ac:dyDescent="0.3">
      <c r="A450" t="s">
        <v>228</v>
      </c>
      <c r="B450" t="s">
        <v>66</v>
      </c>
      <c r="C450" s="7">
        <v>29.34</v>
      </c>
      <c r="D450" s="8">
        <v>42</v>
      </c>
      <c r="E450" s="8">
        <f>MAX(0, D450-40)</f>
        <v>2</v>
      </c>
      <c r="F450" s="7">
        <f>MIN(D450,40)*C450</f>
        <v>1173.5999999999999</v>
      </c>
      <c r="G450" s="9">
        <f>E450 * C450 * 1.5</f>
        <v>88.02</v>
      </c>
      <c r="H450" s="7">
        <f>F450+G450</f>
        <v>1261.6199999999999</v>
      </c>
      <c r="I450" s="7">
        <f>MAX(0,
IF(H450&lt;=800,
H450*0.2,
800*0.2+(H450-800)*0.4
)-70
)</f>
        <v>274.64799999999997</v>
      </c>
      <c r="J450" s="7">
        <f>IF(H450&lt;=231,
H450*0.005,
IF(H450&lt;=693,
231*0.005+(H450-231)*0.02,
231*0.005+462*0.02+(H450-693)*0.045
))</f>
        <v>35.982899999999994</v>
      </c>
      <c r="K450" s="7">
        <f>H450*0.04</f>
        <v>50.464799999999997</v>
      </c>
      <c r="L450" s="7">
        <f>I450+J450+K450</f>
        <v>361.09569999999997</v>
      </c>
      <c r="M450" s="7">
        <f>H450-L450</f>
        <v>900.52429999999993</v>
      </c>
    </row>
    <row r="451" spans="1:13" x14ac:dyDescent="0.3">
      <c r="A451" t="s">
        <v>356</v>
      </c>
      <c r="B451" t="s">
        <v>5</v>
      </c>
      <c r="C451" s="7">
        <v>28.84</v>
      </c>
      <c r="D451" s="8">
        <v>42.5</v>
      </c>
      <c r="E451" s="8">
        <f>MAX(0, D451-40)</f>
        <v>2.5</v>
      </c>
      <c r="F451" s="7">
        <f>MIN(D451,40)*C451</f>
        <v>1153.5999999999999</v>
      </c>
      <c r="G451" s="9">
        <f>E451 * C451 * 1.5</f>
        <v>108.14999999999999</v>
      </c>
      <c r="H451" s="7">
        <f>F451+G451</f>
        <v>1261.75</v>
      </c>
      <c r="I451" s="7">
        <f>MAX(0,
IF(H451&lt;=800,
H451*0.2,
800*0.2+(H451-800)*0.4
)-70
)</f>
        <v>274.70000000000005</v>
      </c>
      <c r="J451" s="7">
        <f>IF(H451&lt;=231,
H451*0.005,
IF(H451&lt;=693,
231*0.005+(H451-231)*0.02,
231*0.005+462*0.02+(H451-693)*0.045
))</f>
        <v>35.988749999999996</v>
      </c>
      <c r="K451" s="7">
        <f>H451*0.04</f>
        <v>50.47</v>
      </c>
      <c r="L451" s="7">
        <f>I451+J451+K451</f>
        <v>361.15875000000005</v>
      </c>
      <c r="M451" s="7">
        <f>H451-L451</f>
        <v>900.59124999999995</v>
      </c>
    </row>
    <row r="452" spans="1:13" x14ac:dyDescent="0.3">
      <c r="A452" t="s">
        <v>58</v>
      </c>
      <c r="B452" t="s">
        <v>59</v>
      </c>
      <c r="C452" s="7">
        <v>33.840000000000003</v>
      </c>
      <c r="D452" s="8">
        <v>37.4</v>
      </c>
      <c r="E452" s="8">
        <f>MAX(0, D452-40)</f>
        <v>0</v>
      </c>
      <c r="F452" s="7">
        <f>MIN(D452,40)*C452</f>
        <v>1265.616</v>
      </c>
      <c r="G452" s="9">
        <f>E452 * C452 * 1.5</f>
        <v>0</v>
      </c>
      <c r="H452" s="7">
        <f>F452+G452</f>
        <v>1265.616</v>
      </c>
      <c r="I452" s="7">
        <f>MAX(0,
IF(H452&lt;=800,
H452*0.2,
800*0.2+(H452-800)*0.4
)-70
)</f>
        <v>276.24639999999999</v>
      </c>
      <c r="J452" s="7">
        <f>IF(H452&lt;=231,
H452*0.005,
IF(H452&lt;=693,
231*0.005+(H452-231)*0.02,
231*0.005+462*0.02+(H452-693)*0.045
))</f>
        <v>36.162719999999993</v>
      </c>
      <c r="K452" s="7">
        <f>H452*0.04</f>
        <v>50.624639999999999</v>
      </c>
      <c r="L452" s="7">
        <f>I452+J452+K452</f>
        <v>363.03375999999997</v>
      </c>
      <c r="M452" s="7">
        <f>H452-L452</f>
        <v>902.58223999999996</v>
      </c>
    </row>
    <row r="453" spans="1:13" x14ac:dyDescent="0.3">
      <c r="A453" t="s">
        <v>386</v>
      </c>
      <c r="B453" t="s">
        <v>11</v>
      </c>
      <c r="C453" s="7">
        <v>33.33</v>
      </c>
      <c r="D453" s="8">
        <v>38</v>
      </c>
      <c r="E453" s="8">
        <f>MAX(0, D453-40)</f>
        <v>0</v>
      </c>
      <c r="F453" s="7">
        <f>MIN(D453,40)*C453</f>
        <v>1266.54</v>
      </c>
      <c r="G453" s="9">
        <f>E453 * C453 * 1.5</f>
        <v>0</v>
      </c>
      <c r="H453" s="7">
        <f>F453+G453</f>
        <v>1266.54</v>
      </c>
      <c r="I453" s="7">
        <f>MAX(0,
IF(H453&lt;=800,
H453*0.2,
800*0.2+(H453-800)*0.4
)-70
)</f>
        <v>276.61599999999999</v>
      </c>
      <c r="J453" s="7">
        <f>IF(H453&lt;=231,
H453*0.005,
IF(H453&lt;=693,
231*0.005+(H453-231)*0.02,
231*0.005+462*0.02+(H453-693)*0.045
))</f>
        <v>36.204299999999996</v>
      </c>
      <c r="K453" s="7">
        <f>H453*0.04</f>
        <v>50.6616</v>
      </c>
      <c r="L453" s="7">
        <f>I453+J453+K453</f>
        <v>363.4819</v>
      </c>
      <c r="M453" s="7">
        <f>H453-L453</f>
        <v>903.05809999999997</v>
      </c>
    </row>
    <row r="454" spans="1:13" x14ac:dyDescent="0.3">
      <c r="A454" t="s">
        <v>233</v>
      </c>
      <c r="B454" t="s">
        <v>209</v>
      </c>
      <c r="C454" s="7">
        <v>27.02</v>
      </c>
      <c r="D454" s="8">
        <v>44.7</v>
      </c>
      <c r="E454" s="8">
        <f>MAX(0, D454-40)</f>
        <v>4.7000000000000028</v>
      </c>
      <c r="F454" s="7">
        <f>MIN(D454,40)*C454</f>
        <v>1080.8</v>
      </c>
      <c r="G454" s="9">
        <f>E454 * C454 * 1.5</f>
        <v>190.4910000000001</v>
      </c>
      <c r="H454" s="7">
        <f>F454+G454</f>
        <v>1271.2910000000002</v>
      </c>
      <c r="I454" s="7">
        <f>MAX(0,
IF(H454&lt;=800,
H454*0.2,
800*0.2+(H454-800)*0.4
)-70
)</f>
        <v>278.51640000000009</v>
      </c>
      <c r="J454" s="7">
        <f>IF(H454&lt;=231,
H454*0.005,
IF(H454&lt;=693,
231*0.005+(H454-231)*0.02,
231*0.005+462*0.02+(H454-693)*0.045
))</f>
        <v>36.418095000000008</v>
      </c>
      <c r="K454" s="7">
        <f>H454*0.04</f>
        <v>50.85164000000001</v>
      </c>
      <c r="L454" s="7">
        <f>I454+J454+K454</f>
        <v>365.78613500000012</v>
      </c>
      <c r="M454" s="7">
        <f>H454-L454</f>
        <v>905.50486500000011</v>
      </c>
    </row>
    <row r="455" spans="1:13" x14ac:dyDescent="0.3">
      <c r="A455" t="s">
        <v>206</v>
      </c>
      <c r="B455" t="s">
        <v>73</v>
      </c>
      <c r="C455" s="7">
        <v>32.14</v>
      </c>
      <c r="D455" s="8">
        <v>39.6</v>
      </c>
      <c r="E455" s="8">
        <f>MAX(0, D455-40)</f>
        <v>0</v>
      </c>
      <c r="F455" s="7">
        <f>MIN(D455,40)*C455</f>
        <v>1272.7440000000001</v>
      </c>
      <c r="G455" s="9">
        <f>E455 * C455 * 1.5</f>
        <v>0</v>
      </c>
      <c r="H455" s="7">
        <f>F455+G455</f>
        <v>1272.7440000000001</v>
      </c>
      <c r="I455" s="7">
        <f>MAX(0,
IF(H455&lt;=800,
H455*0.2,
800*0.2+(H455-800)*0.4
)-70
)</f>
        <v>279.09760000000006</v>
      </c>
      <c r="J455" s="7">
        <f>IF(H455&lt;=231,
H455*0.005,
IF(H455&lt;=693,
231*0.005+(H455-231)*0.02,
231*0.005+462*0.02+(H455-693)*0.045
))</f>
        <v>36.48348</v>
      </c>
      <c r="K455" s="7">
        <f>H455*0.04</f>
        <v>50.909760000000006</v>
      </c>
      <c r="L455" s="7">
        <f>I455+J455+K455</f>
        <v>366.49084000000005</v>
      </c>
      <c r="M455" s="7">
        <f>H455-L455</f>
        <v>906.25316000000009</v>
      </c>
    </row>
    <row r="456" spans="1:13" x14ac:dyDescent="0.3">
      <c r="A456" t="s">
        <v>151</v>
      </c>
      <c r="B456" t="s">
        <v>17</v>
      </c>
      <c r="C456" s="7">
        <v>34.01</v>
      </c>
      <c r="D456" s="8">
        <v>37.799999999999997</v>
      </c>
      <c r="E456" s="8">
        <f>MAX(0, D456-40)</f>
        <v>0</v>
      </c>
      <c r="F456" s="7">
        <f>MIN(D456,40)*C456</f>
        <v>1285.5779999999997</v>
      </c>
      <c r="G456" s="9">
        <f>E456 * C456 * 1.5</f>
        <v>0</v>
      </c>
      <c r="H456" s="7">
        <f>F456+G456</f>
        <v>1285.5779999999997</v>
      </c>
      <c r="I456" s="7">
        <f>MAX(0,
IF(H456&lt;=800,
H456*0.2,
800*0.2+(H456-800)*0.4
)-70
)</f>
        <v>284.23119999999994</v>
      </c>
      <c r="J456" s="7">
        <f>IF(H456&lt;=231,
H456*0.005,
IF(H456&lt;=693,
231*0.005+(H456-231)*0.02,
231*0.005+462*0.02+(H456-693)*0.045
))</f>
        <v>37.061009999999989</v>
      </c>
      <c r="K456" s="7">
        <f>H456*0.04</f>
        <v>51.42311999999999</v>
      </c>
      <c r="L456" s="7">
        <f>I456+J456+K456</f>
        <v>372.71532999999994</v>
      </c>
      <c r="M456" s="7">
        <f>H456-L456</f>
        <v>912.86266999999975</v>
      </c>
    </row>
    <row r="457" spans="1:13" x14ac:dyDescent="0.3">
      <c r="A457" t="s">
        <v>118</v>
      </c>
      <c r="B457" t="s">
        <v>17</v>
      </c>
      <c r="C457" s="7">
        <v>34.549999999999997</v>
      </c>
      <c r="D457" s="8">
        <v>37.299999999999997</v>
      </c>
      <c r="E457" s="8">
        <f>MAX(0, D457-40)</f>
        <v>0</v>
      </c>
      <c r="F457" s="7">
        <f>MIN(D457,40)*C457</f>
        <v>1288.7149999999997</v>
      </c>
      <c r="G457" s="9">
        <f>E457 * C457 * 1.5</f>
        <v>0</v>
      </c>
      <c r="H457" s="7">
        <f>F457+G457</f>
        <v>1288.7149999999997</v>
      </c>
      <c r="I457" s="7">
        <f>MAX(0,
IF(H457&lt;=800,
H457*0.2,
800*0.2+(H457-800)*0.4
)-70
)</f>
        <v>285.48599999999988</v>
      </c>
      <c r="J457" s="7">
        <f>IF(H457&lt;=231,
H457*0.005,
IF(H457&lt;=693,
231*0.005+(H457-231)*0.02,
231*0.005+462*0.02+(H457-693)*0.045
))</f>
        <v>37.202174999999983</v>
      </c>
      <c r="K457" s="7">
        <f>H457*0.04</f>
        <v>51.548599999999986</v>
      </c>
      <c r="L457" s="7">
        <f>I457+J457+K457</f>
        <v>374.23677499999985</v>
      </c>
      <c r="M457" s="7">
        <f>H457-L457</f>
        <v>914.47822499999984</v>
      </c>
    </row>
    <row r="458" spans="1:13" x14ac:dyDescent="0.3">
      <c r="A458" t="s">
        <v>422</v>
      </c>
      <c r="B458" t="s">
        <v>49</v>
      </c>
      <c r="C458" s="7">
        <v>32.92</v>
      </c>
      <c r="D458" s="8">
        <v>39.6</v>
      </c>
      <c r="E458" s="8">
        <f>MAX(0, D458-40)</f>
        <v>0</v>
      </c>
      <c r="F458" s="7">
        <f>MIN(D458,40)*C458</f>
        <v>1303.6320000000001</v>
      </c>
      <c r="G458" s="9">
        <f>E458 * C458 * 1.5</f>
        <v>0</v>
      </c>
      <c r="H458" s="7">
        <f>F458+G458</f>
        <v>1303.6320000000001</v>
      </c>
      <c r="I458" s="7">
        <f>MAX(0,
IF(H458&lt;=800,
H458*0.2,
800*0.2+(H458-800)*0.4
)-70
)</f>
        <v>291.45280000000002</v>
      </c>
      <c r="J458" s="7">
        <f>IF(H458&lt;=231,
H458*0.005,
IF(H458&lt;=693,
231*0.005+(H458-231)*0.02,
231*0.005+462*0.02+(H458-693)*0.045
))</f>
        <v>37.873440000000002</v>
      </c>
      <c r="K458" s="7">
        <f>H458*0.04</f>
        <v>52.145280000000007</v>
      </c>
      <c r="L458" s="7">
        <f>I458+J458+K458</f>
        <v>381.47152000000006</v>
      </c>
      <c r="M458" s="7">
        <f>H458-L458</f>
        <v>922.16048000000001</v>
      </c>
    </row>
    <row r="459" spans="1:13" x14ac:dyDescent="0.3">
      <c r="A459" t="s">
        <v>269</v>
      </c>
      <c r="B459" t="s">
        <v>61</v>
      </c>
      <c r="C459" s="7">
        <v>29.83</v>
      </c>
      <c r="D459" s="8">
        <v>42.6</v>
      </c>
      <c r="E459" s="8">
        <f>MAX(0, D459-40)</f>
        <v>2.6000000000000014</v>
      </c>
      <c r="F459" s="7">
        <f>MIN(D459,40)*C459</f>
        <v>1193.1999999999998</v>
      </c>
      <c r="G459" s="9">
        <f>E459 * C459 * 1.5</f>
        <v>116.33700000000005</v>
      </c>
      <c r="H459" s="7">
        <f>F459+G459</f>
        <v>1309.5369999999998</v>
      </c>
      <c r="I459" s="7">
        <f>MAX(0,
IF(H459&lt;=800,
H459*0.2,
800*0.2+(H459-800)*0.4
)-70
)</f>
        <v>293.81479999999993</v>
      </c>
      <c r="J459" s="7">
        <f>IF(H459&lt;=231,
H459*0.005,
IF(H459&lt;=693,
231*0.005+(H459-231)*0.02,
231*0.005+462*0.02+(H459-693)*0.045
))</f>
        <v>38.139164999999991</v>
      </c>
      <c r="K459" s="7">
        <f>H459*0.04</f>
        <v>52.381479999999996</v>
      </c>
      <c r="L459" s="7">
        <f>I459+J459+K459</f>
        <v>384.33544499999994</v>
      </c>
      <c r="M459" s="7">
        <f>H459-L459</f>
        <v>925.20155499999987</v>
      </c>
    </row>
    <row r="460" spans="1:13" x14ac:dyDescent="0.3">
      <c r="A460" t="s">
        <v>448</v>
      </c>
      <c r="B460" t="s">
        <v>101</v>
      </c>
      <c r="C460" s="7">
        <v>28.39</v>
      </c>
      <c r="D460" s="8">
        <v>44.1</v>
      </c>
      <c r="E460" s="8">
        <f>MAX(0, D460-40)</f>
        <v>4.1000000000000014</v>
      </c>
      <c r="F460" s="7">
        <f>MIN(D460,40)*C460</f>
        <v>1135.5999999999999</v>
      </c>
      <c r="G460" s="9">
        <f>E460 * C460 * 1.5</f>
        <v>174.59850000000006</v>
      </c>
      <c r="H460" s="7">
        <f>F460+G460</f>
        <v>1310.1985</v>
      </c>
      <c r="I460" s="7">
        <f>MAX(0,
IF(H460&lt;=800,
H460*0.2,
800*0.2+(H460-800)*0.4
)-70
)</f>
        <v>294.07939999999996</v>
      </c>
      <c r="J460" s="7">
        <f>IF(H460&lt;=231,
H460*0.005,
IF(H460&lt;=693,
231*0.005+(H460-231)*0.02,
231*0.005+462*0.02+(H460-693)*0.045
))</f>
        <v>38.168932499999997</v>
      </c>
      <c r="K460" s="7">
        <f>H460*0.04</f>
        <v>52.407939999999996</v>
      </c>
      <c r="L460" s="7">
        <f>I460+J460+K460</f>
        <v>384.65627249999994</v>
      </c>
      <c r="M460" s="7">
        <f>H460-L460</f>
        <v>925.54222750000008</v>
      </c>
    </row>
    <row r="461" spans="1:13" x14ac:dyDescent="0.3">
      <c r="A461" t="s">
        <v>271</v>
      </c>
      <c r="B461" t="s">
        <v>66</v>
      </c>
      <c r="C461" s="7">
        <v>27.69</v>
      </c>
      <c r="D461" s="8">
        <v>44.9</v>
      </c>
      <c r="E461" s="8">
        <f>MAX(0, D461-40)</f>
        <v>4.8999999999999986</v>
      </c>
      <c r="F461" s="7">
        <f>MIN(D461,40)*C461</f>
        <v>1107.6000000000001</v>
      </c>
      <c r="G461" s="9">
        <f>E461 * C461 * 1.5</f>
        <v>203.52149999999995</v>
      </c>
      <c r="H461" s="7">
        <f>F461+G461</f>
        <v>1311.1215000000002</v>
      </c>
      <c r="I461" s="7">
        <f>MAX(0,
IF(H461&lt;=800,
H461*0.2,
800*0.2+(H461-800)*0.4
)-70
)</f>
        <v>294.44860000000006</v>
      </c>
      <c r="J461" s="7">
        <f>IF(H461&lt;=231,
H461*0.005,
IF(H461&lt;=693,
231*0.005+(H461-231)*0.02,
231*0.005+462*0.02+(H461-693)*0.045
))</f>
        <v>38.210467500000007</v>
      </c>
      <c r="K461" s="7">
        <f>H461*0.04</f>
        <v>52.444860000000006</v>
      </c>
      <c r="L461" s="7">
        <f>I461+J461+K461</f>
        <v>385.10392750000005</v>
      </c>
      <c r="M461" s="7">
        <f>H461-L461</f>
        <v>926.01757250000014</v>
      </c>
    </row>
    <row r="462" spans="1:13" x14ac:dyDescent="0.3">
      <c r="A462" t="s">
        <v>363</v>
      </c>
      <c r="B462" t="s">
        <v>19</v>
      </c>
      <c r="C462" s="7">
        <v>30.42</v>
      </c>
      <c r="D462" s="8">
        <v>42.2</v>
      </c>
      <c r="E462" s="8">
        <f>MAX(0, D462-40)</f>
        <v>2.2000000000000028</v>
      </c>
      <c r="F462" s="7">
        <f>MIN(D462,40)*C462</f>
        <v>1216.8000000000002</v>
      </c>
      <c r="G462" s="9">
        <f>E462 * C462 * 1.5</f>
        <v>100.38600000000014</v>
      </c>
      <c r="H462" s="7">
        <f>F462+G462</f>
        <v>1317.1860000000004</v>
      </c>
      <c r="I462" s="7">
        <f>MAX(0,
IF(H462&lt;=800,
H462*0.2,
800*0.2+(H462-800)*0.4
)-70
)</f>
        <v>296.87440000000015</v>
      </c>
      <c r="J462" s="7">
        <f>IF(H462&lt;=231,
H462*0.005,
IF(H462&lt;=693,
231*0.005+(H462-231)*0.02,
231*0.005+462*0.02+(H462-693)*0.045
))</f>
        <v>38.483370000000015</v>
      </c>
      <c r="K462" s="7">
        <f>H462*0.04</f>
        <v>52.687440000000016</v>
      </c>
      <c r="L462" s="7">
        <f>I462+J462+K462</f>
        <v>388.04521000000022</v>
      </c>
      <c r="M462" s="7">
        <f>H462-L462</f>
        <v>929.14079000000015</v>
      </c>
    </row>
    <row r="463" spans="1:13" x14ac:dyDescent="0.3">
      <c r="A463" t="s">
        <v>280</v>
      </c>
      <c r="B463" t="s">
        <v>15</v>
      </c>
      <c r="C463" s="7">
        <v>28.47</v>
      </c>
      <c r="D463" s="8">
        <v>44.2</v>
      </c>
      <c r="E463" s="8">
        <f>MAX(0, D463-40)</f>
        <v>4.2000000000000028</v>
      </c>
      <c r="F463" s="7">
        <f>MIN(D463,40)*C463</f>
        <v>1138.8</v>
      </c>
      <c r="G463" s="9">
        <f>E463 * C463 * 1.5</f>
        <v>179.3610000000001</v>
      </c>
      <c r="H463" s="7">
        <f>F463+G463</f>
        <v>1318.1610000000001</v>
      </c>
      <c r="I463" s="7">
        <f>MAX(0,
IF(H463&lt;=800,
H463*0.2,
800*0.2+(H463-800)*0.4
)-70
)</f>
        <v>297.26440000000002</v>
      </c>
      <c r="J463" s="7">
        <f>IF(H463&lt;=231,
H463*0.005,
IF(H463&lt;=693,
231*0.005+(H463-231)*0.02,
231*0.005+462*0.02+(H463-693)*0.045
))</f>
        <v>38.527245000000001</v>
      </c>
      <c r="K463" s="7">
        <f>H463*0.04</f>
        <v>52.726440000000004</v>
      </c>
      <c r="L463" s="7">
        <f>I463+J463+K463</f>
        <v>388.51808500000004</v>
      </c>
      <c r="M463" s="7">
        <f>H463-L463</f>
        <v>929.64291500000002</v>
      </c>
    </row>
    <row r="464" spans="1:13" x14ac:dyDescent="0.3">
      <c r="A464" t="s">
        <v>75</v>
      </c>
      <c r="B464" t="s">
        <v>61</v>
      </c>
      <c r="C464" s="7">
        <v>30</v>
      </c>
      <c r="D464" s="8">
        <v>42.7</v>
      </c>
      <c r="E464" s="8">
        <f>MAX(0, D464-40)</f>
        <v>2.7000000000000028</v>
      </c>
      <c r="F464" s="7">
        <f>MIN(D464,40)*C464</f>
        <v>1200</v>
      </c>
      <c r="G464" s="9">
        <f>E464 * C464 * 1.5</f>
        <v>121.50000000000013</v>
      </c>
      <c r="H464" s="7">
        <f>F464+G464</f>
        <v>1321.5000000000002</v>
      </c>
      <c r="I464" s="7">
        <f>MAX(0,
IF(H464&lt;=800,
H464*0.2,
800*0.2+(H464-800)*0.4
)-70
)</f>
        <v>298.60000000000014</v>
      </c>
      <c r="J464" s="7">
        <f>IF(H464&lt;=231,
H464*0.005,
IF(H464&lt;=693,
231*0.005+(H464-231)*0.02,
231*0.005+462*0.02+(H464-693)*0.045
))</f>
        <v>38.677500000000009</v>
      </c>
      <c r="K464" s="7">
        <f>H464*0.04</f>
        <v>52.860000000000014</v>
      </c>
      <c r="L464" s="7">
        <f>I464+J464+K464</f>
        <v>390.13750000000016</v>
      </c>
      <c r="M464" s="7">
        <f>H464-L464</f>
        <v>931.36250000000007</v>
      </c>
    </row>
    <row r="465" spans="1:13" x14ac:dyDescent="0.3">
      <c r="A465" t="s">
        <v>464</v>
      </c>
      <c r="B465" t="s">
        <v>46</v>
      </c>
      <c r="C465" s="7">
        <v>34.65</v>
      </c>
      <c r="D465" s="8">
        <v>38.200000000000003</v>
      </c>
      <c r="E465" s="8">
        <f>MAX(0, D465-40)</f>
        <v>0</v>
      </c>
      <c r="F465" s="7">
        <f>MIN(D465,40)*C465</f>
        <v>1323.63</v>
      </c>
      <c r="G465" s="9">
        <f>E465 * C465 * 1.5</f>
        <v>0</v>
      </c>
      <c r="H465" s="7">
        <f>F465+G465</f>
        <v>1323.63</v>
      </c>
      <c r="I465" s="7">
        <f>MAX(0,
IF(H465&lt;=800,
H465*0.2,
800*0.2+(H465-800)*0.4
)-70
)</f>
        <v>299.45200000000006</v>
      </c>
      <c r="J465" s="7">
        <f>IF(H465&lt;=231,
H465*0.005,
IF(H465&lt;=693,
231*0.005+(H465-231)*0.02,
231*0.005+462*0.02+(H465-693)*0.045
))</f>
        <v>38.773350000000008</v>
      </c>
      <c r="K465" s="7">
        <f>H465*0.04</f>
        <v>52.945200000000007</v>
      </c>
      <c r="L465" s="7">
        <f>I465+J465+K465</f>
        <v>391.17055000000005</v>
      </c>
      <c r="M465" s="7">
        <f>H465-L465</f>
        <v>932.45945000000006</v>
      </c>
    </row>
    <row r="466" spans="1:13" x14ac:dyDescent="0.3">
      <c r="A466" t="s">
        <v>44</v>
      </c>
      <c r="B466" t="s">
        <v>37</v>
      </c>
      <c r="C466" s="7">
        <v>31.96</v>
      </c>
      <c r="D466" s="8">
        <v>41</v>
      </c>
      <c r="E466" s="8">
        <f>MAX(0, D466-40)</f>
        <v>1</v>
      </c>
      <c r="F466" s="7">
        <f>MIN(D466,40)*C466</f>
        <v>1278.4000000000001</v>
      </c>
      <c r="G466" s="9">
        <f>E466 * C466 * 1.5</f>
        <v>47.94</v>
      </c>
      <c r="H466" s="7">
        <f>F466+G466</f>
        <v>1326.3400000000001</v>
      </c>
      <c r="I466" s="7">
        <f>MAX(0,
IF(H466&lt;=800,
H466*0.2,
800*0.2+(H466-800)*0.4
)-70
)</f>
        <v>300.53600000000006</v>
      </c>
      <c r="J466" s="7">
        <f>IF(H466&lt;=231,
H466*0.005,
IF(H466&lt;=693,
231*0.005+(H466-231)*0.02,
231*0.005+462*0.02+(H466-693)*0.045
))</f>
        <v>38.895300000000006</v>
      </c>
      <c r="K466" s="7">
        <f>H466*0.04</f>
        <v>53.05360000000001</v>
      </c>
      <c r="L466" s="7">
        <f>I466+J466+K466</f>
        <v>392.4849000000001</v>
      </c>
      <c r="M466" s="7">
        <f>H466-L466</f>
        <v>933.85509999999999</v>
      </c>
    </row>
    <row r="467" spans="1:13" x14ac:dyDescent="0.3">
      <c r="A467" t="s">
        <v>319</v>
      </c>
      <c r="B467" t="s">
        <v>43</v>
      </c>
      <c r="C467" s="7">
        <v>28.3</v>
      </c>
      <c r="D467" s="8">
        <v>44.7</v>
      </c>
      <c r="E467" s="8">
        <f>MAX(0, D467-40)</f>
        <v>4.7000000000000028</v>
      </c>
      <c r="F467" s="7">
        <f>MIN(D467,40)*C467</f>
        <v>1132</v>
      </c>
      <c r="G467" s="9">
        <f>E467 * C467 * 1.5</f>
        <v>199.5150000000001</v>
      </c>
      <c r="H467" s="7">
        <f>F467+G467</f>
        <v>1331.5150000000001</v>
      </c>
      <c r="I467" s="7">
        <f>MAX(0,
IF(H467&lt;=800,
H467*0.2,
800*0.2+(H467-800)*0.4
)-70
)</f>
        <v>302.60600000000005</v>
      </c>
      <c r="J467" s="7">
        <f>IF(H467&lt;=231,
H467*0.005,
IF(H467&lt;=693,
231*0.005+(H467-231)*0.02,
231*0.005+462*0.02+(H467-693)*0.045
))</f>
        <v>39.128174999999999</v>
      </c>
      <c r="K467" s="7">
        <f>H467*0.04</f>
        <v>53.260600000000004</v>
      </c>
      <c r="L467" s="7">
        <f>I467+J467+K467</f>
        <v>394.99477500000006</v>
      </c>
      <c r="M467" s="7">
        <f>H467-L467</f>
        <v>936.52022499999998</v>
      </c>
    </row>
    <row r="468" spans="1:13" x14ac:dyDescent="0.3">
      <c r="A468" t="s">
        <v>254</v>
      </c>
      <c r="B468" t="s">
        <v>145</v>
      </c>
      <c r="C468" s="7">
        <v>28.9</v>
      </c>
      <c r="D468" s="8">
        <v>44.1</v>
      </c>
      <c r="E468" s="8">
        <f>MAX(0, D468-40)</f>
        <v>4.1000000000000014</v>
      </c>
      <c r="F468" s="7">
        <f>MIN(D468,40)*C468</f>
        <v>1156</v>
      </c>
      <c r="G468" s="9">
        <f>E468 * C468 * 1.5</f>
        <v>177.73500000000007</v>
      </c>
      <c r="H468" s="7">
        <f>F468+G468</f>
        <v>1333.7350000000001</v>
      </c>
      <c r="I468" s="7">
        <f>MAX(0,
IF(H468&lt;=800,
H468*0.2,
800*0.2+(H468-800)*0.4
)-70
)</f>
        <v>303.49400000000003</v>
      </c>
      <c r="J468" s="7">
        <f>IF(H468&lt;=231,
H468*0.005,
IF(H468&lt;=693,
231*0.005+(H468-231)*0.02,
231*0.005+462*0.02+(H468-693)*0.045
))</f>
        <v>39.228075000000004</v>
      </c>
      <c r="K468" s="7">
        <f>H468*0.04</f>
        <v>53.349400000000003</v>
      </c>
      <c r="L468" s="7">
        <f>I468+J468+K468</f>
        <v>396.07147500000002</v>
      </c>
      <c r="M468" s="7">
        <f>H468-L468</f>
        <v>937.66352500000016</v>
      </c>
    </row>
    <row r="469" spans="1:13" x14ac:dyDescent="0.3">
      <c r="A469" t="s">
        <v>18</v>
      </c>
      <c r="B469" t="s">
        <v>19</v>
      </c>
      <c r="C469" s="7">
        <v>29.53</v>
      </c>
      <c r="D469" s="8">
        <v>43.6</v>
      </c>
      <c r="E469" s="8">
        <f>MAX(0, D469-40)</f>
        <v>3.6000000000000014</v>
      </c>
      <c r="F469" s="7">
        <f>MIN(D469,40)*C469</f>
        <v>1181.2</v>
      </c>
      <c r="G469" s="9">
        <f>E469 * C469 * 1.5</f>
        <v>159.46200000000007</v>
      </c>
      <c r="H469" s="7">
        <f>F469+G469</f>
        <v>1340.662</v>
      </c>
      <c r="I469" s="7">
        <f>MAX(0,
IF(H469&lt;=800,
H469*0.2,
800*0.2+(H469-800)*0.4
)-70
)</f>
        <v>306.26480000000004</v>
      </c>
      <c r="J469" s="7">
        <f>IF(H469&lt;=231,
H469*0.005,
IF(H469&lt;=693,
231*0.005+(H469-231)*0.02,
231*0.005+462*0.02+(H469-693)*0.045
))</f>
        <v>39.539789999999996</v>
      </c>
      <c r="K469" s="7">
        <f>H469*0.04</f>
        <v>53.626480000000001</v>
      </c>
      <c r="L469" s="7">
        <f>I469+J469+K469</f>
        <v>399.43107000000003</v>
      </c>
      <c r="M469" s="7">
        <f>H469-L469</f>
        <v>941.23092999999994</v>
      </c>
    </row>
    <row r="470" spans="1:13" x14ac:dyDescent="0.3">
      <c r="A470" t="s">
        <v>389</v>
      </c>
      <c r="B470" t="s">
        <v>7</v>
      </c>
      <c r="C470" s="7">
        <v>29.64</v>
      </c>
      <c r="D470" s="8">
        <v>43.7</v>
      </c>
      <c r="E470" s="8">
        <f>MAX(0, D470-40)</f>
        <v>3.7000000000000028</v>
      </c>
      <c r="F470" s="7">
        <f>MIN(D470,40)*C470</f>
        <v>1185.5999999999999</v>
      </c>
      <c r="G470" s="9">
        <f>E470 * C470 * 1.5</f>
        <v>164.50200000000012</v>
      </c>
      <c r="H470" s="7">
        <f>F470+G470</f>
        <v>1350.1020000000001</v>
      </c>
      <c r="I470" s="7">
        <f>MAX(0,
IF(H470&lt;=800,
H470*0.2,
800*0.2+(H470-800)*0.4
)-70
)</f>
        <v>310.04080000000005</v>
      </c>
      <c r="J470" s="7">
        <f>IF(H470&lt;=231,
H470*0.005,
IF(H470&lt;=693,
231*0.005+(H470-231)*0.02,
231*0.005+462*0.02+(H470-693)*0.045
))</f>
        <v>39.964590000000001</v>
      </c>
      <c r="K470" s="7">
        <f>H470*0.04</f>
        <v>54.004080000000002</v>
      </c>
      <c r="L470" s="7">
        <f>I470+J470+K470</f>
        <v>404.00947000000002</v>
      </c>
      <c r="M470" s="7">
        <f>H470-L470</f>
        <v>946.09253000000012</v>
      </c>
    </row>
    <row r="471" spans="1:13" x14ac:dyDescent="0.3">
      <c r="A471" t="s">
        <v>385</v>
      </c>
      <c r="B471" t="s">
        <v>37</v>
      </c>
      <c r="C471" s="7">
        <v>29.5</v>
      </c>
      <c r="D471" s="8">
        <v>44</v>
      </c>
      <c r="E471" s="8">
        <f>MAX(0, D471-40)</f>
        <v>4</v>
      </c>
      <c r="F471" s="7">
        <f>MIN(D471,40)*C471</f>
        <v>1180</v>
      </c>
      <c r="G471" s="9">
        <f>E471 * C471 * 1.5</f>
        <v>177</v>
      </c>
      <c r="H471" s="7">
        <f>F471+G471</f>
        <v>1357</v>
      </c>
      <c r="I471" s="7">
        <f>MAX(0,
IF(H471&lt;=800,
H471*0.2,
800*0.2+(H471-800)*0.4
)-70
)</f>
        <v>312.8</v>
      </c>
      <c r="J471" s="7">
        <f>IF(H471&lt;=231,
H471*0.005,
IF(H471&lt;=693,
231*0.005+(H471-231)*0.02,
231*0.005+462*0.02+(H471-693)*0.045
))</f>
        <v>40.274999999999999</v>
      </c>
      <c r="K471" s="7">
        <f>H471*0.04</f>
        <v>54.28</v>
      </c>
      <c r="L471" s="7">
        <f>I471+J471+K471</f>
        <v>407.35500000000002</v>
      </c>
      <c r="M471" s="7">
        <f>H471-L471</f>
        <v>949.64499999999998</v>
      </c>
    </row>
    <row r="472" spans="1:13" x14ac:dyDescent="0.3">
      <c r="A472" t="s">
        <v>345</v>
      </c>
      <c r="B472" t="s">
        <v>73</v>
      </c>
      <c r="C472" s="7">
        <v>35.81</v>
      </c>
      <c r="D472" s="8">
        <v>37.9</v>
      </c>
      <c r="E472" s="8">
        <f>MAX(0, D472-40)</f>
        <v>0</v>
      </c>
      <c r="F472" s="7">
        <f>MIN(D472,40)*C472</f>
        <v>1357.1990000000001</v>
      </c>
      <c r="G472" s="9">
        <f>E472 * C472 * 1.5</f>
        <v>0</v>
      </c>
      <c r="H472" s="7">
        <f>F472+G472</f>
        <v>1357.1990000000001</v>
      </c>
      <c r="I472" s="7">
        <f>MAX(0,
IF(H472&lt;=800,
H472*0.2,
800*0.2+(H472-800)*0.4
)-70
)</f>
        <v>312.87960000000004</v>
      </c>
      <c r="J472" s="7">
        <f>IF(H472&lt;=231,
H472*0.005,
IF(H472&lt;=693,
231*0.005+(H472-231)*0.02,
231*0.005+462*0.02+(H472-693)*0.045
))</f>
        <v>40.283955000000006</v>
      </c>
      <c r="K472" s="7">
        <f>H472*0.04</f>
        <v>54.287960000000005</v>
      </c>
      <c r="L472" s="7">
        <f>I472+J472+K472</f>
        <v>407.45151500000003</v>
      </c>
      <c r="M472" s="7">
        <f>H472-L472</f>
        <v>949.7474850000001</v>
      </c>
    </row>
    <row r="473" spans="1:13" x14ac:dyDescent="0.3">
      <c r="A473" t="s">
        <v>302</v>
      </c>
      <c r="B473" t="s">
        <v>73</v>
      </c>
      <c r="C473" s="7">
        <v>34.99</v>
      </c>
      <c r="D473" s="8">
        <v>38.9</v>
      </c>
      <c r="E473" s="8">
        <f>MAX(0, D473-40)</f>
        <v>0</v>
      </c>
      <c r="F473" s="7">
        <f>MIN(D473,40)*C473</f>
        <v>1361.1110000000001</v>
      </c>
      <c r="G473" s="9">
        <f>E473 * C473 * 1.5</f>
        <v>0</v>
      </c>
      <c r="H473" s="7">
        <f>F473+G473</f>
        <v>1361.1110000000001</v>
      </c>
      <c r="I473" s="7">
        <f>MAX(0,
IF(H473&lt;=800,
H473*0.2,
800*0.2+(H473-800)*0.4
)-70
)</f>
        <v>314.44440000000009</v>
      </c>
      <c r="J473" s="7">
        <f>IF(H473&lt;=231,
H473*0.005,
IF(H473&lt;=693,
231*0.005+(H473-231)*0.02,
231*0.005+462*0.02+(H473-693)*0.045
))</f>
        <v>40.459995000000006</v>
      </c>
      <c r="K473" s="7">
        <f>H473*0.04</f>
        <v>54.444440000000007</v>
      </c>
      <c r="L473" s="7">
        <f>I473+J473+K473</f>
        <v>409.34883500000007</v>
      </c>
      <c r="M473" s="7">
        <f>H473-L473</f>
        <v>951.7621650000001</v>
      </c>
    </row>
    <row r="474" spans="1:13" x14ac:dyDescent="0.3">
      <c r="A474" t="s">
        <v>282</v>
      </c>
      <c r="B474" t="s">
        <v>19</v>
      </c>
      <c r="C474" s="7">
        <v>30.53</v>
      </c>
      <c r="D474" s="8">
        <v>43.1</v>
      </c>
      <c r="E474" s="8">
        <f>MAX(0, D474-40)</f>
        <v>3.1000000000000014</v>
      </c>
      <c r="F474" s="7">
        <f>MIN(D474,40)*C474</f>
        <v>1221.2</v>
      </c>
      <c r="G474" s="9">
        <f>E474 * C474 * 1.5</f>
        <v>141.96450000000007</v>
      </c>
      <c r="H474" s="7">
        <f>F474+G474</f>
        <v>1363.1645000000001</v>
      </c>
      <c r="I474" s="7">
        <f>MAX(0,
IF(H474&lt;=800,
H474*0.2,
800*0.2+(H474-800)*0.4
)-70
)</f>
        <v>315.26580000000001</v>
      </c>
      <c r="J474" s="7">
        <f>IF(H474&lt;=231,
H474*0.005,
IF(H474&lt;=693,
231*0.005+(H474-231)*0.02,
231*0.005+462*0.02+(H474-693)*0.045
))</f>
        <v>40.552402499999999</v>
      </c>
      <c r="K474" s="7">
        <f>H474*0.04</f>
        <v>54.526580000000003</v>
      </c>
      <c r="L474" s="7">
        <f>I474+J474+K474</f>
        <v>410.34478250000001</v>
      </c>
      <c r="M474" s="7">
        <f>H474-L474</f>
        <v>952.81971750000002</v>
      </c>
    </row>
    <row r="475" spans="1:13" x14ac:dyDescent="0.3">
      <c r="A475" t="s">
        <v>232</v>
      </c>
      <c r="B475" t="s">
        <v>59</v>
      </c>
      <c r="C475" s="7">
        <v>30.23</v>
      </c>
      <c r="D475" s="8">
        <v>43.5</v>
      </c>
      <c r="E475" s="8">
        <f>MAX(0, D475-40)</f>
        <v>3.5</v>
      </c>
      <c r="F475" s="7">
        <f>MIN(D475,40)*C475</f>
        <v>1209.2</v>
      </c>
      <c r="G475" s="9">
        <f>E475 * C475 * 1.5</f>
        <v>158.70750000000001</v>
      </c>
      <c r="H475" s="7">
        <f>F475+G475</f>
        <v>1367.9075</v>
      </c>
      <c r="I475" s="7">
        <f>MAX(0,
IF(H475&lt;=800,
H475*0.2,
800*0.2+(H475-800)*0.4
)-70
)</f>
        <v>317.16300000000001</v>
      </c>
      <c r="J475" s="7">
        <f>IF(H475&lt;=231,
H475*0.005,
IF(H475&lt;=693,
231*0.005+(H475-231)*0.02,
231*0.005+462*0.02+(H475-693)*0.045
))</f>
        <v>40.765837500000004</v>
      </c>
      <c r="K475" s="7">
        <f>H475*0.04</f>
        <v>54.716300000000004</v>
      </c>
      <c r="L475" s="7">
        <f>I475+J475+K475</f>
        <v>412.64513749999998</v>
      </c>
      <c r="M475" s="7">
        <f>H475-L475</f>
        <v>955.26236250000011</v>
      </c>
    </row>
    <row r="476" spans="1:13" x14ac:dyDescent="0.3">
      <c r="A476" t="s">
        <v>332</v>
      </c>
      <c r="B476" t="s">
        <v>9</v>
      </c>
      <c r="C476" s="7">
        <v>30.43</v>
      </c>
      <c r="D476" s="8">
        <v>43.5</v>
      </c>
      <c r="E476" s="8">
        <f>MAX(0, D476-40)</f>
        <v>3.5</v>
      </c>
      <c r="F476" s="7">
        <f>MIN(D476,40)*C476</f>
        <v>1217.2</v>
      </c>
      <c r="G476" s="9">
        <f>E476 * C476 * 1.5</f>
        <v>159.75749999999999</v>
      </c>
      <c r="H476" s="7">
        <f>F476+G476</f>
        <v>1376.9575</v>
      </c>
      <c r="I476" s="7">
        <f>MAX(0,
IF(H476&lt;=800,
H476*0.2,
800*0.2+(H476-800)*0.4
)-70
)</f>
        <v>320.78300000000002</v>
      </c>
      <c r="J476" s="7">
        <f>IF(H476&lt;=231,
H476*0.005,
IF(H476&lt;=693,
231*0.005+(H476-231)*0.02,
231*0.005+462*0.02+(H476-693)*0.045
))</f>
        <v>41.173087499999994</v>
      </c>
      <c r="K476" s="7">
        <f>H476*0.04</f>
        <v>55.078299999999999</v>
      </c>
      <c r="L476" s="7">
        <f>I476+J476+K476</f>
        <v>417.03438750000004</v>
      </c>
      <c r="M476" s="7">
        <f>H476-L476</f>
        <v>959.92311249999989</v>
      </c>
    </row>
    <row r="477" spans="1:13" x14ac:dyDescent="0.3">
      <c r="A477" t="s">
        <v>84</v>
      </c>
      <c r="B477" t="s">
        <v>61</v>
      </c>
      <c r="C477" s="7">
        <v>34.31</v>
      </c>
      <c r="D477" s="8">
        <v>40.1</v>
      </c>
      <c r="E477" s="8">
        <f>MAX(0, D477-40)</f>
        <v>0.10000000000000142</v>
      </c>
      <c r="F477" s="7">
        <f>MIN(D477,40)*C477</f>
        <v>1372.4</v>
      </c>
      <c r="G477" s="9">
        <f>E477 * C477 * 1.5</f>
        <v>5.1465000000000733</v>
      </c>
      <c r="H477" s="7">
        <f>F477+G477</f>
        <v>1377.5465000000002</v>
      </c>
      <c r="I477" s="7">
        <f>MAX(0,
IF(H477&lt;=800,
H477*0.2,
800*0.2+(H477-800)*0.4
)-70
)</f>
        <v>321.01860000000011</v>
      </c>
      <c r="J477" s="7">
        <f>IF(H477&lt;=231,
H477*0.005,
IF(H477&lt;=693,
231*0.005+(H477-231)*0.02,
231*0.005+462*0.02+(H477-693)*0.045
))</f>
        <v>41.199592500000008</v>
      </c>
      <c r="K477" s="7">
        <f>H477*0.04</f>
        <v>55.101860000000009</v>
      </c>
      <c r="L477" s="7">
        <f>I477+J477+K477</f>
        <v>417.32005250000009</v>
      </c>
      <c r="M477" s="7">
        <f>H477-L477</f>
        <v>960.22644750000006</v>
      </c>
    </row>
    <row r="478" spans="1:13" x14ac:dyDescent="0.3">
      <c r="A478" t="s">
        <v>41</v>
      </c>
      <c r="B478" t="s">
        <v>17</v>
      </c>
      <c r="C478" s="7">
        <v>34.409999999999997</v>
      </c>
      <c r="D478" s="8">
        <v>40.1</v>
      </c>
      <c r="E478" s="8">
        <f>MAX(0, D478-40)</f>
        <v>0.10000000000000142</v>
      </c>
      <c r="F478" s="7">
        <f>MIN(D478,40)*C478</f>
        <v>1376.3999999999999</v>
      </c>
      <c r="G478" s="9">
        <f>E478 * C478 * 1.5</f>
        <v>5.161500000000073</v>
      </c>
      <c r="H478" s="7">
        <f>F478+G478</f>
        <v>1381.5615</v>
      </c>
      <c r="I478" s="7">
        <f>MAX(0,
IF(H478&lt;=800,
H478*0.2,
800*0.2+(H478-800)*0.4
)-70
)</f>
        <v>322.62459999999999</v>
      </c>
      <c r="J478" s="7">
        <f>IF(H478&lt;=231,
H478*0.005,
IF(H478&lt;=693,
231*0.005+(H478-231)*0.02,
231*0.005+462*0.02+(H478-693)*0.045
))</f>
        <v>41.380267500000002</v>
      </c>
      <c r="K478" s="7">
        <f>H478*0.04</f>
        <v>55.262460000000004</v>
      </c>
      <c r="L478" s="7">
        <f>I478+J478+K478</f>
        <v>419.26732749999996</v>
      </c>
      <c r="M478" s="7">
        <f>H478-L478</f>
        <v>962.29417250000006</v>
      </c>
    </row>
    <row r="479" spans="1:13" x14ac:dyDescent="0.3">
      <c r="A479" t="s">
        <v>477</v>
      </c>
      <c r="B479" t="s">
        <v>17</v>
      </c>
      <c r="C479" s="7">
        <v>31.31</v>
      </c>
      <c r="D479" s="8">
        <v>42.8</v>
      </c>
      <c r="E479" s="8">
        <f>MAX(0, D479-40)</f>
        <v>2.7999999999999972</v>
      </c>
      <c r="F479" s="7">
        <f>MIN(D479,40)*C479</f>
        <v>1252.3999999999999</v>
      </c>
      <c r="G479" s="9">
        <f>E479 * C479 * 1.5</f>
        <v>131.50199999999987</v>
      </c>
      <c r="H479" s="7">
        <f>F479+G479</f>
        <v>1383.9019999999998</v>
      </c>
      <c r="I479" s="7">
        <f>MAX(0,
IF(H479&lt;=800,
H479*0.2,
800*0.2+(H479-800)*0.4
)-70
)</f>
        <v>323.56079999999997</v>
      </c>
      <c r="J479" s="7">
        <f>IF(H479&lt;=231,
H479*0.005,
IF(H479&lt;=693,
231*0.005+(H479-231)*0.02,
231*0.005+462*0.02+(H479-693)*0.045
))</f>
        <v>41.485589999999988</v>
      </c>
      <c r="K479" s="7">
        <f>H479*0.04</f>
        <v>55.356079999999992</v>
      </c>
      <c r="L479" s="7">
        <f>I479+J479+K479</f>
        <v>420.40246999999999</v>
      </c>
      <c r="M479" s="7">
        <f>H479-L479</f>
        <v>963.49952999999982</v>
      </c>
    </row>
    <row r="480" spans="1:13" x14ac:dyDescent="0.3">
      <c r="A480" t="s">
        <v>39</v>
      </c>
      <c r="B480" t="s">
        <v>21</v>
      </c>
      <c r="C480" s="7">
        <v>31.76</v>
      </c>
      <c r="D480" s="8">
        <v>42.5</v>
      </c>
      <c r="E480" s="8">
        <f>MAX(0, D480-40)</f>
        <v>2.5</v>
      </c>
      <c r="F480" s="7">
        <f>MIN(D480,40)*C480</f>
        <v>1270.4000000000001</v>
      </c>
      <c r="G480" s="9">
        <f>E480 * C480 * 1.5</f>
        <v>119.10000000000001</v>
      </c>
      <c r="H480" s="7">
        <f>F480+G480</f>
        <v>1389.5</v>
      </c>
      <c r="I480" s="7">
        <f>MAX(0,
IF(H480&lt;=800,
H480*0.2,
800*0.2+(H480-800)*0.4
)-70
)</f>
        <v>325.8</v>
      </c>
      <c r="J480" s="7">
        <f>IF(H480&lt;=231,
H480*0.005,
IF(H480&lt;=693,
231*0.005+(H480-231)*0.02,
231*0.005+462*0.02+(H480-693)*0.045
))</f>
        <v>41.737499999999997</v>
      </c>
      <c r="K480" s="7">
        <f>H480*0.04</f>
        <v>55.58</v>
      </c>
      <c r="L480" s="7">
        <f>I480+J480+K480</f>
        <v>423.11750000000001</v>
      </c>
      <c r="M480" s="7">
        <f>H480-L480</f>
        <v>966.38249999999994</v>
      </c>
    </row>
    <row r="481" spans="1:13" x14ac:dyDescent="0.3">
      <c r="A481" t="s">
        <v>160</v>
      </c>
      <c r="B481" t="s">
        <v>49</v>
      </c>
      <c r="C481" s="7">
        <v>30.1</v>
      </c>
      <c r="D481" s="8">
        <v>44.4</v>
      </c>
      <c r="E481" s="8">
        <f>MAX(0, D481-40)</f>
        <v>4.3999999999999986</v>
      </c>
      <c r="F481" s="7">
        <f>MIN(D481,40)*C481</f>
        <v>1204</v>
      </c>
      <c r="G481" s="9">
        <f>E481 * C481 * 1.5</f>
        <v>198.65999999999997</v>
      </c>
      <c r="H481" s="7">
        <f>F481+G481</f>
        <v>1402.6599999999999</v>
      </c>
      <c r="I481" s="7">
        <f>MAX(0,
IF(H481&lt;=800,
H481*0.2,
800*0.2+(H481-800)*0.4
)-70
)</f>
        <v>331.06399999999996</v>
      </c>
      <c r="J481" s="7">
        <f>IF(H481&lt;=231,
H481*0.005,
IF(H481&lt;=693,
231*0.005+(H481-231)*0.02,
231*0.005+462*0.02+(H481-693)*0.045
))</f>
        <v>42.329699999999988</v>
      </c>
      <c r="K481" s="7">
        <f>H481*0.04</f>
        <v>56.106399999999994</v>
      </c>
      <c r="L481" s="7">
        <f>I481+J481+K481</f>
        <v>429.50009999999997</v>
      </c>
      <c r="M481" s="7">
        <f>H481-L481</f>
        <v>973.15989999999988</v>
      </c>
    </row>
    <row r="482" spans="1:13" x14ac:dyDescent="0.3">
      <c r="A482" t="s">
        <v>346</v>
      </c>
      <c r="B482" t="s">
        <v>17</v>
      </c>
      <c r="C482" s="7">
        <v>34.31</v>
      </c>
      <c r="D482" s="8">
        <v>40.6</v>
      </c>
      <c r="E482" s="8">
        <f>MAX(0, D482-40)</f>
        <v>0.60000000000000142</v>
      </c>
      <c r="F482" s="7">
        <f>MIN(D482,40)*C482</f>
        <v>1372.4</v>
      </c>
      <c r="G482" s="9">
        <f>E482 * C482 * 1.5</f>
        <v>30.879000000000076</v>
      </c>
      <c r="H482" s="7">
        <f>F482+G482</f>
        <v>1403.2790000000002</v>
      </c>
      <c r="I482" s="7">
        <f>MAX(0,
IF(H482&lt;=800,
H482*0.2,
800*0.2+(H482-800)*0.4
)-70
)</f>
        <v>331.31160000000011</v>
      </c>
      <c r="J482" s="7">
        <f>IF(H482&lt;=231,
H482*0.005,
IF(H482&lt;=693,
231*0.005+(H482-231)*0.02,
231*0.005+462*0.02+(H482-693)*0.045
))</f>
        <v>42.357555000000005</v>
      </c>
      <c r="K482" s="7">
        <f>H482*0.04</f>
        <v>56.131160000000008</v>
      </c>
      <c r="L482" s="7">
        <f>I482+J482+K482</f>
        <v>429.80031500000013</v>
      </c>
      <c r="M482" s="7">
        <f>H482-L482</f>
        <v>973.47868500000004</v>
      </c>
    </row>
    <row r="483" spans="1:13" x14ac:dyDescent="0.3">
      <c r="A483" t="s">
        <v>90</v>
      </c>
      <c r="B483" t="s">
        <v>46</v>
      </c>
      <c r="C483" s="7">
        <v>35.89</v>
      </c>
      <c r="D483" s="8">
        <v>39.1</v>
      </c>
      <c r="E483" s="8">
        <f>MAX(0, D483-40)</f>
        <v>0</v>
      </c>
      <c r="F483" s="7">
        <f>MIN(D483,40)*C483</f>
        <v>1403.299</v>
      </c>
      <c r="G483" s="9">
        <f>E483 * C483 * 1.5</f>
        <v>0</v>
      </c>
      <c r="H483" s="7">
        <f>F483+G483</f>
        <v>1403.299</v>
      </c>
      <c r="I483" s="7">
        <f>MAX(0,
IF(H483&lt;=800,
H483*0.2,
800*0.2+(H483-800)*0.4
)-70
)</f>
        <v>331.31960000000004</v>
      </c>
      <c r="J483" s="7">
        <f>IF(H483&lt;=231,
H483*0.005,
IF(H483&lt;=693,
231*0.005+(H483-231)*0.02,
231*0.005+462*0.02+(H483-693)*0.045
))</f>
        <v>42.358454999999992</v>
      </c>
      <c r="K483" s="7">
        <f>H483*0.04</f>
        <v>56.131959999999999</v>
      </c>
      <c r="L483" s="7">
        <f>I483+J483+K483</f>
        <v>429.81001500000002</v>
      </c>
      <c r="M483" s="7">
        <f>H483-L483</f>
        <v>973.48898499999996</v>
      </c>
    </row>
    <row r="484" spans="1:13" x14ac:dyDescent="0.3">
      <c r="A484" t="s">
        <v>342</v>
      </c>
      <c r="B484" t="s">
        <v>59</v>
      </c>
      <c r="C484" s="7">
        <v>32.08</v>
      </c>
      <c r="D484" s="8">
        <v>42.6</v>
      </c>
      <c r="E484" s="8">
        <f>MAX(0, D484-40)</f>
        <v>2.6000000000000014</v>
      </c>
      <c r="F484" s="7">
        <f>MIN(D484,40)*C484</f>
        <v>1283.1999999999998</v>
      </c>
      <c r="G484" s="9">
        <f>E484 * C484 * 1.5</f>
        <v>125.11200000000007</v>
      </c>
      <c r="H484" s="7">
        <f>F484+G484</f>
        <v>1408.3119999999999</v>
      </c>
      <c r="I484" s="7">
        <f>MAX(0,
IF(H484&lt;=800,
H484*0.2,
800*0.2+(H484-800)*0.4
)-70
)</f>
        <v>333.32479999999998</v>
      </c>
      <c r="J484" s="7">
        <f>IF(H484&lt;=231,
H484*0.005,
IF(H484&lt;=693,
231*0.005+(H484-231)*0.02,
231*0.005+462*0.02+(H484-693)*0.045
))</f>
        <v>42.584039999999987</v>
      </c>
      <c r="K484" s="7">
        <f>H484*0.04</f>
        <v>56.332479999999997</v>
      </c>
      <c r="L484" s="7">
        <f>I484+J484+K484</f>
        <v>432.24131999999992</v>
      </c>
      <c r="M484" s="7">
        <f>H484-L484</f>
        <v>976.07068000000004</v>
      </c>
    </row>
    <row r="485" spans="1:13" x14ac:dyDescent="0.3">
      <c r="A485" t="s">
        <v>241</v>
      </c>
      <c r="B485" t="s">
        <v>61</v>
      </c>
      <c r="C485" s="7">
        <v>30.68</v>
      </c>
      <c r="D485" s="8">
        <v>44.2</v>
      </c>
      <c r="E485" s="8">
        <f>MAX(0, D485-40)</f>
        <v>4.2000000000000028</v>
      </c>
      <c r="F485" s="7">
        <f>MIN(D485,40)*C485</f>
        <v>1227.2</v>
      </c>
      <c r="G485" s="9">
        <f>E485 * C485 * 1.5</f>
        <v>193.28400000000011</v>
      </c>
      <c r="H485" s="7">
        <f>F485+G485</f>
        <v>1420.4840000000002</v>
      </c>
      <c r="I485" s="7">
        <f>MAX(0,
IF(H485&lt;=800,
H485*0.2,
800*0.2+(H485-800)*0.4
)-70
)</f>
        <v>338.19360000000006</v>
      </c>
      <c r="J485" s="7">
        <f>IF(H485&lt;=231,
H485*0.005,
IF(H485&lt;=693,
231*0.005+(H485-231)*0.02,
231*0.005+462*0.02+(H485-693)*0.045
))</f>
        <v>43.131780000000006</v>
      </c>
      <c r="K485" s="7">
        <f>H485*0.04</f>
        <v>56.81936000000001</v>
      </c>
      <c r="L485" s="7">
        <f>I485+J485+K485</f>
        <v>438.14474000000007</v>
      </c>
      <c r="M485" s="7">
        <f>H485-L485</f>
        <v>982.33926000000008</v>
      </c>
    </row>
    <row r="486" spans="1:13" x14ac:dyDescent="0.3">
      <c r="A486" t="s">
        <v>437</v>
      </c>
      <c r="B486" t="s">
        <v>123</v>
      </c>
      <c r="C486" s="7">
        <v>30.7</v>
      </c>
      <c r="D486" s="8">
        <v>44.3</v>
      </c>
      <c r="E486" s="8">
        <f>MAX(0, D486-40)</f>
        <v>4.2999999999999972</v>
      </c>
      <c r="F486" s="7">
        <f>MIN(D486,40)*C486</f>
        <v>1228</v>
      </c>
      <c r="G486" s="9">
        <f>E486 * C486 * 1.5</f>
        <v>198.01499999999987</v>
      </c>
      <c r="H486" s="7">
        <f>F486+G486</f>
        <v>1426.0149999999999</v>
      </c>
      <c r="I486" s="7">
        <f>MAX(0,
IF(H486&lt;=800,
H486*0.2,
800*0.2+(H486-800)*0.4
)-70
)</f>
        <v>340.40599999999995</v>
      </c>
      <c r="J486" s="7">
        <f>IF(H486&lt;=231,
H486*0.005,
IF(H486&lt;=693,
231*0.005+(H486-231)*0.02,
231*0.005+462*0.02+(H486-693)*0.045
))</f>
        <v>43.380674999999997</v>
      </c>
      <c r="K486" s="7">
        <f>H486*0.04</f>
        <v>57.040599999999998</v>
      </c>
      <c r="L486" s="7">
        <f>I486+J486+K486</f>
        <v>440.82727499999993</v>
      </c>
      <c r="M486" s="7">
        <f>H486-L486</f>
        <v>985.187725</v>
      </c>
    </row>
    <row r="487" spans="1:13" x14ac:dyDescent="0.3">
      <c r="A487" t="s">
        <v>69</v>
      </c>
      <c r="B487" t="s">
        <v>43</v>
      </c>
      <c r="C487" s="7">
        <v>30.09</v>
      </c>
      <c r="D487" s="8">
        <v>45</v>
      </c>
      <c r="E487" s="8">
        <f>MAX(0, D487-40)</f>
        <v>5</v>
      </c>
      <c r="F487" s="7">
        <f>MIN(D487,40)*C487</f>
        <v>1203.5999999999999</v>
      </c>
      <c r="G487" s="9">
        <f>E487 * C487 * 1.5</f>
        <v>225.67499999999998</v>
      </c>
      <c r="H487" s="7">
        <f>F487+G487</f>
        <v>1429.2749999999999</v>
      </c>
      <c r="I487" s="7">
        <f>MAX(0,
IF(H487&lt;=800,
H487*0.2,
800*0.2+(H487-800)*0.4
)-70
)</f>
        <v>341.70999999999992</v>
      </c>
      <c r="J487" s="7">
        <f>IF(H487&lt;=231,
H487*0.005,
IF(H487&lt;=693,
231*0.005+(H487-231)*0.02,
231*0.005+462*0.02+(H487-693)*0.045
))</f>
        <v>43.527374999999992</v>
      </c>
      <c r="K487" s="7">
        <f>H487*0.04</f>
        <v>57.170999999999992</v>
      </c>
      <c r="L487" s="7">
        <f>I487+J487+K487</f>
        <v>442.40837499999992</v>
      </c>
      <c r="M487" s="7">
        <f>H487-L487</f>
        <v>986.86662499999989</v>
      </c>
    </row>
    <row r="488" spans="1:13" x14ac:dyDescent="0.3">
      <c r="A488" t="s">
        <v>388</v>
      </c>
      <c r="B488" t="s">
        <v>125</v>
      </c>
      <c r="C488" s="7">
        <v>32.619999999999997</v>
      </c>
      <c r="D488" s="8">
        <v>42.6</v>
      </c>
      <c r="E488" s="8">
        <f>MAX(0, D488-40)</f>
        <v>2.6000000000000014</v>
      </c>
      <c r="F488" s="7">
        <f>MIN(D488,40)*C488</f>
        <v>1304.8</v>
      </c>
      <c r="G488" s="9">
        <f>E488 * C488 * 1.5</f>
        <v>127.21800000000006</v>
      </c>
      <c r="H488" s="7">
        <f>F488+G488</f>
        <v>1432.018</v>
      </c>
      <c r="I488" s="7">
        <f>MAX(0,
IF(H488&lt;=800,
H488*0.2,
800*0.2+(H488-800)*0.4
)-70
)</f>
        <v>342.80720000000002</v>
      </c>
      <c r="J488" s="7">
        <f>IF(H488&lt;=231,
H488*0.005,
IF(H488&lt;=693,
231*0.005+(H488-231)*0.02,
231*0.005+462*0.02+(H488-693)*0.045
))</f>
        <v>43.650809999999993</v>
      </c>
      <c r="K488" s="7">
        <f>H488*0.04</f>
        <v>57.280720000000002</v>
      </c>
      <c r="L488" s="7">
        <f>I488+J488+K488</f>
        <v>443.73873000000003</v>
      </c>
      <c r="M488" s="7">
        <f>H488-L488</f>
        <v>988.27927</v>
      </c>
    </row>
    <row r="489" spans="1:13" x14ac:dyDescent="0.3">
      <c r="A489" t="s">
        <v>401</v>
      </c>
      <c r="B489" t="s">
        <v>46</v>
      </c>
      <c r="C489" s="7">
        <v>32.79</v>
      </c>
      <c r="D489" s="8">
        <v>42.7</v>
      </c>
      <c r="E489" s="8">
        <f>MAX(0, D489-40)</f>
        <v>2.7000000000000028</v>
      </c>
      <c r="F489" s="7">
        <f>MIN(D489,40)*C489</f>
        <v>1311.6</v>
      </c>
      <c r="G489" s="9">
        <f>E489 * C489 * 1.5</f>
        <v>132.79950000000014</v>
      </c>
      <c r="H489" s="7">
        <f>F489+G489</f>
        <v>1444.3995</v>
      </c>
      <c r="I489" s="7">
        <f>MAX(0,
IF(H489&lt;=800,
H489*0.2,
800*0.2+(H489-800)*0.4
)-70
)</f>
        <v>347.75979999999998</v>
      </c>
      <c r="J489" s="7">
        <f>IF(H489&lt;=231,
H489*0.005,
IF(H489&lt;=693,
231*0.005+(H489-231)*0.02,
231*0.005+462*0.02+(H489-693)*0.045
))</f>
        <v>44.207977499999998</v>
      </c>
      <c r="K489" s="7">
        <f>H489*0.04</f>
        <v>57.775980000000004</v>
      </c>
      <c r="L489" s="7">
        <f>I489+J489+K489</f>
        <v>449.74375750000002</v>
      </c>
      <c r="M489" s="7">
        <f>H489-L489</f>
        <v>994.65574249999997</v>
      </c>
    </row>
    <row r="490" spans="1:13" x14ac:dyDescent="0.3">
      <c r="A490" t="s">
        <v>408</v>
      </c>
      <c r="B490" t="s">
        <v>11</v>
      </c>
      <c r="C490" s="7">
        <v>30.74</v>
      </c>
      <c r="D490" s="8">
        <v>44.7</v>
      </c>
      <c r="E490" s="8">
        <f>MAX(0, D490-40)</f>
        <v>4.7000000000000028</v>
      </c>
      <c r="F490" s="7">
        <f>MIN(D490,40)*C490</f>
        <v>1229.5999999999999</v>
      </c>
      <c r="G490" s="9">
        <f>E490 * C490 * 1.5</f>
        <v>216.71700000000016</v>
      </c>
      <c r="H490" s="7">
        <f>F490+G490</f>
        <v>1446.317</v>
      </c>
      <c r="I490" s="7">
        <f>MAX(0,
IF(H490&lt;=800,
H490*0.2,
800*0.2+(H490-800)*0.4
)-70
)</f>
        <v>348.52680000000004</v>
      </c>
      <c r="J490" s="7">
        <f>IF(H490&lt;=231,
H490*0.005,
IF(H490&lt;=693,
231*0.005+(H490-231)*0.02,
231*0.005+462*0.02+(H490-693)*0.045
))</f>
        <v>44.294264999999996</v>
      </c>
      <c r="K490" s="7">
        <f>H490*0.04</f>
        <v>57.852679999999999</v>
      </c>
      <c r="L490" s="7">
        <f>I490+J490+K490</f>
        <v>450.67374500000005</v>
      </c>
      <c r="M490" s="7">
        <f>H490-L490</f>
        <v>995.64325499999995</v>
      </c>
    </row>
    <row r="491" spans="1:13" x14ac:dyDescent="0.3">
      <c r="A491" t="s">
        <v>378</v>
      </c>
      <c r="B491" t="s">
        <v>49</v>
      </c>
      <c r="C491" s="7">
        <v>31.56</v>
      </c>
      <c r="D491" s="8">
        <v>43.9</v>
      </c>
      <c r="E491" s="8">
        <f>MAX(0, D491-40)</f>
        <v>3.8999999999999986</v>
      </c>
      <c r="F491" s="7">
        <f>MIN(D491,40)*C491</f>
        <v>1262.3999999999999</v>
      </c>
      <c r="G491" s="9">
        <f>E491 * C491 * 1.5</f>
        <v>184.62599999999992</v>
      </c>
      <c r="H491" s="7">
        <f>F491+G491</f>
        <v>1447.0259999999998</v>
      </c>
      <c r="I491" s="7">
        <f>MAX(0,
IF(H491&lt;=800,
H491*0.2,
800*0.2+(H491-800)*0.4
)-70
)</f>
        <v>348.81039999999996</v>
      </c>
      <c r="J491" s="7">
        <f>IF(H491&lt;=231,
H491*0.005,
IF(H491&lt;=693,
231*0.005+(H491-231)*0.02,
231*0.005+462*0.02+(H491-693)*0.045
))</f>
        <v>44.326169999999991</v>
      </c>
      <c r="K491" s="7">
        <f>H491*0.04</f>
        <v>57.881039999999992</v>
      </c>
      <c r="L491" s="7">
        <f>I491+J491+K491</f>
        <v>451.01760999999993</v>
      </c>
      <c r="M491" s="7">
        <f>H491-L491</f>
        <v>996.00838999999996</v>
      </c>
    </row>
    <row r="492" spans="1:13" x14ac:dyDescent="0.3">
      <c r="A492" t="s">
        <v>421</v>
      </c>
      <c r="B492" t="s">
        <v>73</v>
      </c>
      <c r="C492" s="7">
        <v>37.69</v>
      </c>
      <c r="D492" s="8">
        <v>38.4</v>
      </c>
      <c r="E492" s="8">
        <f>MAX(0, D492-40)</f>
        <v>0</v>
      </c>
      <c r="F492" s="7">
        <f>MIN(D492,40)*C492</f>
        <v>1447.2959999999998</v>
      </c>
      <c r="G492" s="9">
        <f>E492 * C492 * 1.5</f>
        <v>0</v>
      </c>
      <c r="H492" s="7">
        <f>F492+G492</f>
        <v>1447.2959999999998</v>
      </c>
      <c r="I492" s="7">
        <f>MAX(0,
IF(H492&lt;=800,
H492*0.2,
800*0.2+(H492-800)*0.4
)-70
)</f>
        <v>348.91839999999996</v>
      </c>
      <c r="J492" s="7">
        <f>IF(H492&lt;=231,
H492*0.005,
IF(H492&lt;=693,
231*0.005+(H492-231)*0.02,
231*0.005+462*0.02+(H492-693)*0.045
))</f>
        <v>44.338319999999996</v>
      </c>
      <c r="K492" s="7">
        <f>H492*0.04</f>
        <v>57.891839999999995</v>
      </c>
      <c r="L492" s="7">
        <f>I492+J492+K492</f>
        <v>451.14855999999997</v>
      </c>
      <c r="M492" s="7">
        <f>H492-L492</f>
        <v>996.14743999999985</v>
      </c>
    </row>
    <row r="493" spans="1:13" x14ac:dyDescent="0.3">
      <c r="A493" t="s">
        <v>333</v>
      </c>
      <c r="B493" t="s">
        <v>46</v>
      </c>
      <c r="C493" s="7">
        <v>31.12</v>
      </c>
      <c r="D493" s="8">
        <v>44.4</v>
      </c>
      <c r="E493" s="8">
        <f>MAX(0, D493-40)</f>
        <v>4.3999999999999986</v>
      </c>
      <c r="F493" s="7">
        <f>MIN(D493,40)*C493</f>
        <v>1244.8</v>
      </c>
      <c r="G493" s="9">
        <f>E493 * C493 * 1.5</f>
        <v>205.39199999999994</v>
      </c>
      <c r="H493" s="7">
        <f>F493+G493</f>
        <v>1450.192</v>
      </c>
      <c r="I493" s="7">
        <f>MAX(0,
IF(H493&lt;=800,
H493*0.2,
800*0.2+(H493-800)*0.4
)-70
)</f>
        <v>350.07679999999999</v>
      </c>
      <c r="J493" s="7">
        <f>IF(H493&lt;=231,
H493*0.005,
IF(H493&lt;=693,
231*0.005+(H493-231)*0.02,
231*0.005+462*0.02+(H493-693)*0.045
))</f>
        <v>44.468639999999994</v>
      </c>
      <c r="K493" s="7">
        <f>H493*0.04</f>
        <v>58.007680000000001</v>
      </c>
      <c r="L493" s="7">
        <f>I493+J493+K493</f>
        <v>452.55311999999998</v>
      </c>
      <c r="M493" s="7">
        <f>H493-L493</f>
        <v>997.63887999999997</v>
      </c>
    </row>
    <row r="494" spans="1:13" x14ac:dyDescent="0.3">
      <c r="A494" t="s">
        <v>270</v>
      </c>
      <c r="B494" t="s">
        <v>59</v>
      </c>
      <c r="C494" s="7">
        <v>33.29</v>
      </c>
      <c r="D494" s="8">
        <v>42.5</v>
      </c>
      <c r="E494" s="8">
        <f>MAX(0, D494-40)</f>
        <v>2.5</v>
      </c>
      <c r="F494" s="7">
        <f>MIN(D494,40)*C494</f>
        <v>1331.6</v>
      </c>
      <c r="G494" s="9">
        <f>E494 * C494 * 1.5</f>
        <v>124.83749999999999</v>
      </c>
      <c r="H494" s="7">
        <f>F494+G494</f>
        <v>1456.4375</v>
      </c>
      <c r="I494" s="7">
        <f>MAX(0,
IF(H494&lt;=800,
H494*0.2,
800*0.2+(H494-800)*0.4
)-70
)</f>
        <v>352.57499999999999</v>
      </c>
      <c r="J494" s="7">
        <f>IF(H494&lt;=231,
H494*0.005,
IF(H494&lt;=693,
231*0.005+(H494-231)*0.02,
231*0.005+462*0.02+(H494-693)*0.045
))</f>
        <v>44.749687499999993</v>
      </c>
      <c r="K494" s="7">
        <f>H494*0.04</f>
        <v>58.2575</v>
      </c>
      <c r="L494" s="7">
        <f>I494+J494+K494</f>
        <v>455.58218749999997</v>
      </c>
      <c r="M494" s="7">
        <f>H494-L494</f>
        <v>1000.8553125000001</v>
      </c>
    </row>
    <row r="495" spans="1:13" x14ac:dyDescent="0.3">
      <c r="A495" t="s">
        <v>117</v>
      </c>
      <c r="B495" t="s">
        <v>11</v>
      </c>
      <c r="C495" s="7">
        <v>31.36</v>
      </c>
      <c r="D495" s="8">
        <v>44.5</v>
      </c>
      <c r="E495" s="8">
        <f>MAX(0, D495-40)</f>
        <v>4.5</v>
      </c>
      <c r="F495" s="7">
        <f>MIN(D495,40)*C495</f>
        <v>1254.4000000000001</v>
      </c>
      <c r="G495" s="9">
        <f>E495 * C495 * 1.5</f>
        <v>211.68</v>
      </c>
      <c r="H495" s="7">
        <f>F495+G495</f>
        <v>1466.0800000000002</v>
      </c>
      <c r="I495" s="7">
        <f>MAX(0,
IF(H495&lt;=800,
H495*0.2,
800*0.2+(H495-800)*0.4
)-70
)</f>
        <v>356.43200000000007</v>
      </c>
      <c r="J495" s="7">
        <f>IF(H495&lt;=231,
H495*0.005,
IF(H495&lt;=693,
231*0.005+(H495-231)*0.02,
231*0.005+462*0.02+(H495-693)*0.045
))</f>
        <v>45.183599999999998</v>
      </c>
      <c r="K495" s="7">
        <f>H495*0.04</f>
        <v>58.643200000000007</v>
      </c>
      <c r="L495" s="7">
        <f>I495+J495+K495</f>
        <v>460.25880000000006</v>
      </c>
      <c r="M495" s="7">
        <f>H495-L495</f>
        <v>1005.8212000000001</v>
      </c>
    </row>
    <row r="496" spans="1:13" x14ac:dyDescent="0.3">
      <c r="A496" t="s">
        <v>336</v>
      </c>
      <c r="B496" t="s">
        <v>73</v>
      </c>
      <c r="C496" s="7">
        <v>34.93</v>
      </c>
      <c r="D496" s="8">
        <v>41.4</v>
      </c>
      <c r="E496" s="8">
        <f>MAX(0, D496-40)</f>
        <v>1.3999999999999986</v>
      </c>
      <c r="F496" s="7">
        <f>MIN(D496,40)*C496</f>
        <v>1397.2</v>
      </c>
      <c r="G496" s="9">
        <f>E496 * C496 * 1.5</f>
        <v>73.352999999999923</v>
      </c>
      <c r="H496" s="7">
        <f>F496+G496</f>
        <v>1470.5529999999999</v>
      </c>
      <c r="I496" s="7">
        <f>MAX(0,
IF(H496&lt;=800,
H496*0.2,
800*0.2+(H496-800)*0.4
)-70
)</f>
        <v>358.22119999999995</v>
      </c>
      <c r="J496" s="7">
        <f>IF(H496&lt;=231,
H496*0.005,
IF(H496&lt;=693,
231*0.005+(H496-231)*0.02,
231*0.005+462*0.02+(H496-693)*0.045
))</f>
        <v>45.384884999999997</v>
      </c>
      <c r="K496" s="7">
        <f>H496*0.04</f>
        <v>58.822119999999998</v>
      </c>
      <c r="L496" s="7">
        <f>I496+J496+K496</f>
        <v>462.42820499999993</v>
      </c>
      <c r="M496" s="7">
        <f>H496-L496</f>
        <v>1008.1247949999999</v>
      </c>
    </row>
    <row r="497" spans="1:13" x14ac:dyDescent="0.3">
      <c r="A497" t="s">
        <v>72</v>
      </c>
      <c r="B497" t="s">
        <v>73</v>
      </c>
      <c r="C497" s="7">
        <v>32.24</v>
      </c>
      <c r="D497" s="8">
        <v>44.6</v>
      </c>
      <c r="E497" s="8">
        <f>MAX(0, D497-40)</f>
        <v>4.6000000000000014</v>
      </c>
      <c r="F497" s="7">
        <f>MIN(D497,40)*C497</f>
        <v>1289.6000000000001</v>
      </c>
      <c r="G497" s="9">
        <f>E497 * C497 * 1.5</f>
        <v>222.45600000000007</v>
      </c>
      <c r="H497" s="7">
        <f>F497+G497</f>
        <v>1512.0560000000003</v>
      </c>
      <c r="I497" s="7">
        <f>MAX(0,
IF(H497&lt;=800,
H497*0.2,
800*0.2+(H497-800)*0.4
)-70
)</f>
        <v>374.82240000000013</v>
      </c>
      <c r="J497" s="7">
        <f>IF(H497&lt;=231,
H497*0.005,
IF(H497&lt;=693,
231*0.005+(H497-231)*0.02,
231*0.005+462*0.02+(H497-693)*0.045
))</f>
        <v>47.252520000000004</v>
      </c>
      <c r="K497" s="7">
        <f>H497*0.04</f>
        <v>60.482240000000012</v>
      </c>
      <c r="L497" s="7">
        <f>I497+J497+K497</f>
        <v>482.55716000000012</v>
      </c>
      <c r="M497" s="7">
        <f>H497-L497</f>
        <v>1029.4988400000002</v>
      </c>
    </row>
    <row r="498" spans="1:13" x14ac:dyDescent="0.3">
      <c r="A498" t="s">
        <v>212</v>
      </c>
      <c r="B498" t="s">
        <v>17</v>
      </c>
      <c r="C498" s="7">
        <v>35.08</v>
      </c>
      <c r="D498" s="8">
        <v>42.8</v>
      </c>
      <c r="E498" s="8">
        <f>MAX(0, D498-40)</f>
        <v>2.7999999999999972</v>
      </c>
      <c r="F498" s="7">
        <f>MIN(D498,40)*C498</f>
        <v>1403.1999999999998</v>
      </c>
      <c r="G498" s="9">
        <f>E498 * C498 * 1.5</f>
        <v>147.33599999999984</v>
      </c>
      <c r="H498" s="7">
        <f>F498+G498</f>
        <v>1550.5359999999996</v>
      </c>
      <c r="I498" s="7">
        <f>MAX(0,
IF(H498&lt;=800,
H498*0.2,
800*0.2+(H498-800)*0.4
)-70
)</f>
        <v>390.21439999999984</v>
      </c>
      <c r="J498" s="7">
        <f>IF(H498&lt;=231,
H498*0.005,
IF(H498&lt;=693,
231*0.005+(H498-231)*0.02,
231*0.005+462*0.02+(H498-693)*0.045
))</f>
        <v>48.984119999999976</v>
      </c>
      <c r="K498" s="7">
        <f>H498*0.04</f>
        <v>62.021439999999984</v>
      </c>
      <c r="L498" s="7">
        <f>I498+J498+K498</f>
        <v>501.21995999999979</v>
      </c>
      <c r="M498" s="7">
        <f>H498-L498</f>
        <v>1049.3160399999997</v>
      </c>
    </row>
    <row r="499" spans="1:13" x14ac:dyDescent="0.3">
      <c r="A499" t="s">
        <v>376</v>
      </c>
      <c r="B499" t="s">
        <v>61</v>
      </c>
      <c r="C499" s="7">
        <v>35.01</v>
      </c>
      <c r="D499" s="8">
        <v>44.3</v>
      </c>
      <c r="E499" s="8">
        <f>MAX(0, D499-40)</f>
        <v>4.2999999999999972</v>
      </c>
      <c r="F499" s="7">
        <f>MIN(D499,40)*C499</f>
        <v>1400.3999999999999</v>
      </c>
      <c r="G499" s="9">
        <f>E499 * C499 * 1.5</f>
        <v>225.81449999999984</v>
      </c>
      <c r="H499" s="7">
        <f>F499+G499</f>
        <v>1626.2144999999996</v>
      </c>
      <c r="I499" s="7">
        <f>MAX(0,
IF(H499&lt;=800,
H499*0.2,
800*0.2+(H499-800)*0.4
)-70
)</f>
        <v>420.48579999999987</v>
      </c>
      <c r="J499" s="7">
        <f>IF(H499&lt;=231,
H499*0.005,
IF(H499&lt;=693,
231*0.005+(H499-231)*0.02,
231*0.005+462*0.02+(H499-693)*0.045
))</f>
        <v>52.389652499999983</v>
      </c>
      <c r="K499" s="7">
        <f>H499*0.04</f>
        <v>65.048579999999987</v>
      </c>
      <c r="L499" s="7">
        <f>I499+J499+K499</f>
        <v>537.92403249999984</v>
      </c>
      <c r="M499" s="7">
        <f>H499-L499</f>
        <v>1088.2904674999997</v>
      </c>
    </row>
    <row r="500" spans="1:13" x14ac:dyDescent="0.3">
      <c r="A500" t="s">
        <v>407</v>
      </c>
      <c r="B500" t="s">
        <v>17</v>
      </c>
      <c r="C500" s="7">
        <v>35.619999999999997</v>
      </c>
      <c r="D500" s="8">
        <v>43.8</v>
      </c>
      <c r="E500" s="8">
        <f>MAX(0, D500-40)</f>
        <v>3.7999999999999972</v>
      </c>
      <c r="F500" s="7">
        <f>MIN(D500,40)*C500</f>
        <v>1424.8</v>
      </c>
      <c r="G500" s="9">
        <f>E500 * C500 * 1.5</f>
        <v>203.03399999999982</v>
      </c>
      <c r="H500" s="7">
        <f>F500+G500</f>
        <v>1627.8339999999998</v>
      </c>
      <c r="I500" s="7">
        <f>MAX(0,
IF(H500&lt;=800,
H500*0.2,
800*0.2+(H500-800)*0.4
)-70
)</f>
        <v>421.13359999999994</v>
      </c>
      <c r="J500" s="7">
        <f>IF(H500&lt;=231,
H500*0.005,
IF(H500&lt;=693,
231*0.005+(H500-231)*0.02,
231*0.005+462*0.02+(H500-693)*0.045
))</f>
        <v>52.462529999999987</v>
      </c>
      <c r="K500" s="7">
        <f>H500*0.04</f>
        <v>65.11336</v>
      </c>
      <c r="L500" s="7">
        <f>I500+J500+K500</f>
        <v>538.70948999999996</v>
      </c>
      <c r="M500" s="7">
        <f>H500-L500</f>
        <v>1089.1245099999999</v>
      </c>
    </row>
    <row r="501" spans="1:13" x14ac:dyDescent="0.3">
      <c r="A501" t="s">
        <v>92</v>
      </c>
      <c r="B501" t="s">
        <v>5</v>
      </c>
      <c r="C501" s="7">
        <v>38.25</v>
      </c>
      <c r="D501" s="8">
        <v>42.8</v>
      </c>
      <c r="E501" s="8">
        <f>MAX(0, D501-40)</f>
        <v>2.7999999999999972</v>
      </c>
      <c r="F501" s="7">
        <f>MIN(D501,40)*C501</f>
        <v>1530</v>
      </c>
      <c r="G501" s="9">
        <f>E501 * C501 * 1.5</f>
        <v>160.64999999999984</v>
      </c>
      <c r="H501" s="7">
        <f>F501+G501</f>
        <v>1690.6499999999999</v>
      </c>
      <c r="I501" s="7">
        <f>MAX(0,
IF(H501&lt;=800,
H501*0.2,
800*0.2+(H501-800)*0.4
)-70
)</f>
        <v>446.26</v>
      </c>
      <c r="J501" s="7">
        <f>IF(H501&lt;=231,
H501*0.005,
IF(H501&lt;=693,
231*0.005+(H501-231)*0.02,
231*0.005+462*0.02+(H501-693)*0.045
))</f>
        <v>55.289249999999996</v>
      </c>
      <c r="K501" s="7">
        <f>H501*0.04</f>
        <v>67.625999999999991</v>
      </c>
      <c r="L501" s="7">
        <f>I501+J501+K501</f>
        <v>569.17525000000001</v>
      </c>
      <c r="M501" s="7">
        <f>H501-L501</f>
        <v>1121.4747499999999</v>
      </c>
    </row>
    <row r="502" spans="1:13" x14ac:dyDescent="0.3">
      <c r="C502" s="2"/>
      <c r="F502" s="2"/>
    </row>
    <row r="503" spans="1:13" x14ac:dyDescent="0.3">
      <c r="C503" s="2"/>
      <c r="D503" s="5"/>
      <c r="E503" s="2"/>
      <c r="F503" s="2"/>
      <c r="G503" s="2"/>
      <c r="H503" s="2"/>
    </row>
    <row r="504" spans="1:13" x14ac:dyDescent="0.3">
      <c r="C504" s="2"/>
      <c r="D504" s="4"/>
      <c r="E504" s="2"/>
      <c r="F504" s="2"/>
      <c r="G504" s="2"/>
      <c r="H504" s="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Tharun Kummari</cp:lastModifiedBy>
  <dcterms:created xsi:type="dcterms:W3CDTF">2026-01-13T07:05:21Z</dcterms:created>
  <dcterms:modified xsi:type="dcterms:W3CDTF">2026-01-14T18:48:39Z</dcterms:modified>
</cp:coreProperties>
</file>